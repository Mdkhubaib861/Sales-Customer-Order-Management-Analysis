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Excel Mini Project 1\"/>
    </mc:Choice>
  </mc:AlternateContent>
  <xr:revisionPtr revIDLastSave="0" documentId="13_ncr:20001_{FA0780E4-CB7B-444D-88DC-E34493A44094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Instructions" sheetId="1" r:id="rId1"/>
    <sheet name="Sales_Data" sheetId="2" r:id="rId2"/>
    <sheet name="Data_Entry" sheetId="3" r:id="rId3"/>
    <sheet name="Series_Practice" sheetId="4" r:id="rId4"/>
    <sheet name="Analysis" sheetId="5" r:id="rId5"/>
    <sheet name="Date_Practice" sheetId="6" r:id="rId6"/>
    <sheet name="Text_Practice" sheetId="7" r:id="rId7"/>
    <sheet name="Dashboard" sheetId="8" r:id="rId8"/>
    <sheet name="Final_Challenge" sheetId="9" r:id="rId9"/>
  </sheets>
  <calcPr calcId="191029"/>
  <fileRecoveryPr repairLoad="1"/>
</workbook>
</file>

<file path=xl/calcChain.xml><?xml version="1.0" encoding="utf-8"?>
<calcChain xmlns="http://schemas.openxmlformats.org/spreadsheetml/2006/main">
  <c r="G23" i="7" l="1"/>
  <c r="F23" i="7"/>
  <c r="A23" i="7"/>
  <c r="G22" i="7"/>
  <c r="F22" i="7"/>
  <c r="A22" i="7"/>
  <c r="G21" i="7"/>
  <c r="F21" i="7"/>
  <c r="A21" i="7"/>
  <c r="G20" i="7"/>
  <c r="F20" i="7"/>
  <c r="A20" i="7"/>
  <c r="G19" i="7"/>
  <c r="F19" i="7"/>
  <c r="A19" i="7"/>
  <c r="G18" i="7"/>
  <c r="F18" i="7"/>
  <c r="A18" i="7"/>
  <c r="G17" i="7"/>
  <c r="F17" i="7"/>
  <c r="A17" i="7"/>
  <c r="G16" i="7"/>
  <c r="F16" i="7"/>
  <c r="A16" i="7"/>
  <c r="G15" i="7"/>
  <c r="F15" i="7"/>
  <c r="A15" i="7"/>
  <c r="G14" i="7"/>
  <c r="F14" i="7"/>
  <c r="A14" i="7"/>
  <c r="G13" i="7"/>
  <c r="F13" i="7"/>
  <c r="A13" i="7"/>
  <c r="G12" i="7"/>
  <c r="F12" i="7"/>
  <c r="A12" i="7"/>
  <c r="G11" i="7"/>
  <c r="F11" i="7"/>
  <c r="A11" i="7"/>
  <c r="G10" i="7"/>
  <c r="F10" i="7"/>
  <c r="A10" i="7"/>
  <c r="G9" i="7"/>
  <c r="F9" i="7"/>
  <c r="A9" i="7"/>
  <c r="G8" i="7"/>
  <c r="F8" i="7"/>
  <c r="A8" i="7"/>
  <c r="G7" i="7"/>
  <c r="F7" i="7"/>
  <c r="A7" i="7"/>
  <c r="G6" i="7"/>
  <c r="F6" i="7"/>
  <c r="A6" i="7"/>
  <c r="G5" i="7"/>
  <c r="F5" i="7"/>
  <c r="A5" i="7"/>
  <c r="G4" i="7"/>
  <c r="F4" i="7"/>
  <c r="A4" i="7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C18" i="6"/>
  <c r="B18" i="6"/>
  <c r="A18" i="6"/>
  <c r="C17" i="6"/>
  <c r="B17" i="6"/>
  <c r="A17" i="6"/>
  <c r="C16" i="6"/>
  <c r="B16" i="6"/>
  <c r="A16" i="6"/>
  <c r="C15" i="6"/>
  <c r="B15" i="6"/>
  <c r="A15" i="6"/>
  <c r="C14" i="6"/>
  <c r="B14" i="6"/>
  <c r="A14" i="6"/>
  <c r="C13" i="6"/>
  <c r="B13" i="6"/>
  <c r="A13" i="6"/>
  <c r="C12" i="6"/>
  <c r="B12" i="6"/>
  <c r="A12" i="6"/>
  <c r="C11" i="6"/>
  <c r="B11" i="6"/>
  <c r="A11" i="6"/>
  <c r="C10" i="6"/>
  <c r="B10" i="6"/>
  <c r="A10" i="6"/>
  <c r="C9" i="6"/>
  <c r="B9" i="6"/>
  <c r="A9" i="6"/>
  <c r="C8" i="6"/>
  <c r="B8" i="6"/>
  <c r="A8" i="6"/>
  <c r="C7" i="6"/>
  <c r="B7" i="6"/>
  <c r="A7" i="6"/>
  <c r="C6" i="6"/>
  <c r="B6" i="6"/>
  <c r="A6" i="6"/>
  <c r="C5" i="6"/>
  <c r="B5" i="6"/>
  <c r="A5" i="6"/>
  <c r="C4" i="6"/>
  <c r="B4" i="6"/>
  <c r="A4" i="6"/>
  <c r="T101" i="2"/>
  <c r="T100" i="2"/>
  <c r="U100" i="2" s="1"/>
  <c r="T99" i="2"/>
  <c r="U99" i="2" s="1"/>
  <c r="V99" i="2" s="1"/>
  <c r="T98" i="2"/>
  <c r="U97" i="2"/>
  <c r="T97" i="2"/>
  <c r="T96" i="2"/>
  <c r="U96" i="2" s="1"/>
  <c r="T95" i="2"/>
  <c r="U95" i="2" s="1"/>
  <c r="V95" i="2" s="1"/>
  <c r="T94" i="2"/>
  <c r="U94" i="2" s="1"/>
  <c r="V94" i="2" s="1"/>
  <c r="T93" i="2"/>
  <c r="T92" i="2"/>
  <c r="U92" i="2" s="1"/>
  <c r="T91" i="2"/>
  <c r="U91" i="2" s="1"/>
  <c r="V91" i="2" s="1"/>
  <c r="T90" i="2"/>
  <c r="U89" i="2"/>
  <c r="T89" i="2"/>
  <c r="T88" i="2"/>
  <c r="U88" i="2" s="1"/>
  <c r="T87" i="2"/>
  <c r="U87" i="2" s="1"/>
  <c r="T86" i="2"/>
  <c r="U86" i="2" s="1"/>
  <c r="V86" i="2" s="1"/>
  <c r="T85" i="2"/>
  <c r="T84" i="2"/>
  <c r="U84" i="2" s="1"/>
  <c r="T83" i="2"/>
  <c r="U83" i="2" s="1"/>
  <c r="V83" i="2" s="1"/>
  <c r="T82" i="2"/>
  <c r="T81" i="2"/>
  <c r="U81" i="2" s="1"/>
  <c r="T80" i="2"/>
  <c r="U80" i="2" s="1"/>
  <c r="T79" i="2"/>
  <c r="T78" i="2"/>
  <c r="U78" i="2" s="1"/>
  <c r="V78" i="2" s="1"/>
  <c r="T77" i="2"/>
  <c r="T76" i="2"/>
  <c r="U76" i="2" s="1"/>
  <c r="T75" i="2"/>
  <c r="U75" i="2" s="1"/>
  <c r="V75" i="2" s="1"/>
  <c r="T74" i="2"/>
  <c r="T73" i="2"/>
  <c r="U73" i="2" s="1"/>
  <c r="T72" i="2"/>
  <c r="T71" i="2"/>
  <c r="U71" i="2" s="1"/>
  <c r="V71" i="2" s="1"/>
  <c r="T70" i="2"/>
  <c r="U70" i="2" s="1"/>
  <c r="V70" i="2" s="1"/>
  <c r="T69" i="2"/>
  <c r="T68" i="2"/>
  <c r="U68" i="2" s="1"/>
  <c r="T67" i="2"/>
  <c r="U67" i="2" s="1"/>
  <c r="V67" i="2" s="1"/>
  <c r="T66" i="2"/>
  <c r="T65" i="2"/>
  <c r="U65" i="2" s="1"/>
  <c r="T64" i="2"/>
  <c r="T63" i="2"/>
  <c r="U63" i="2" s="1"/>
  <c r="V63" i="2" s="1"/>
  <c r="T62" i="2"/>
  <c r="T61" i="2"/>
  <c r="T60" i="2"/>
  <c r="U60" i="2" s="1"/>
  <c r="U59" i="2"/>
  <c r="V59" i="2" s="1"/>
  <c r="T59" i="2"/>
  <c r="T58" i="2"/>
  <c r="T57" i="2"/>
  <c r="U57" i="2" s="1"/>
  <c r="T56" i="2"/>
  <c r="T55" i="2"/>
  <c r="T54" i="2"/>
  <c r="U54" i="2" s="1"/>
  <c r="V54" i="2" s="1"/>
  <c r="T53" i="2"/>
  <c r="V52" i="2"/>
  <c r="T52" i="2"/>
  <c r="U52" i="2" s="1"/>
  <c r="T51" i="2"/>
  <c r="U51" i="2" s="1"/>
  <c r="V51" i="2" s="1"/>
  <c r="T50" i="2"/>
  <c r="U50" i="2" s="1"/>
  <c r="T49" i="2"/>
  <c r="U49" i="2" s="1"/>
  <c r="T48" i="2"/>
  <c r="T47" i="2"/>
  <c r="U47" i="2" s="1"/>
  <c r="V47" i="2" s="1"/>
  <c r="T46" i="2"/>
  <c r="U46" i="2" s="1"/>
  <c r="T45" i="2"/>
  <c r="T44" i="2"/>
  <c r="U44" i="2" s="1"/>
  <c r="T43" i="2"/>
  <c r="U43" i="2" s="1"/>
  <c r="V43" i="2" s="1"/>
  <c r="T42" i="2"/>
  <c r="U42" i="2" s="1"/>
  <c r="T41" i="2"/>
  <c r="U41" i="2" s="1"/>
  <c r="T40" i="2"/>
  <c r="U40" i="2" s="1"/>
  <c r="T39" i="2"/>
  <c r="U39" i="2" s="1"/>
  <c r="T38" i="2"/>
  <c r="U38" i="2" s="1"/>
  <c r="V38" i="2" s="1"/>
  <c r="T37" i="2"/>
  <c r="T36" i="2"/>
  <c r="U36" i="2" s="1"/>
  <c r="T35" i="2"/>
  <c r="U35" i="2" s="1"/>
  <c r="T34" i="2"/>
  <c r="U34" i="2" s="1"/>
  <c r="T33" i="2"/>
  <c r="U33" i="2" s="1"/>
  <c r="V33" i="2" s="1"/>
  <c r="T32" i="2"/>
  <c r="U32" i="2" s="1"/>
  <c r="T31" i="2"/>
  <c r="U31" i="2" s="1"/>
  <c r="U30" i="2"/>
  <c r="V30" i="2" s="1"/>
  <c r="T30" i="2"/>
  <c r="T29" i="2"/>
  <c r="T28" i="2"/>
  <c r="U28" i="2" s="1"/>
  <c r="T27" i="2"/>
  <c r="U27" i="2" s="1"/>
  <c r="T26" i="2"/>
  <c r="U26" i="2" s="1"/>
  <c r="V26" i="2" s="1"/>
  <c r="T25" i="2"/>
  <c r="U25" i="2" s="1"/>
  <c r="V25" i="2" s="1"/>
  <c r="T24" i="2"/>
  <c r="U24" i="2" s="1"/>
  <c r="T23" i="2"/>
  <c r="U23" i="2" s="1"/>
  <c r="T22" i="2"/>
  <c r="U22" i="2" s="1"/>
  <c r="V22" i="2" s="1"/>
  <c r="T21" i="2"/>
  <c r="U20" i="2"/>
  <c r="T20" i="2"/>
  <c r="T19" i="2"/>
  <c r="U19" i="2" s="1"/>
  <c r="T18" i="2"/>
  <c r="U18" i="2" s="1"/>
  <c r="V18" i="2" s="1"/>
  <c r="T17" i="2"/>
  <c r="T16" i="2"/>
  <c r="U16" i="2" s="1"/>
  <c r="T15" i="2"/>
  <c r="U15" i="2" s="1"/>
  <c r="T14" i="2"/>
  <c r="U14" i="2" s="1"/>
  <c r="V14" i="2" s="1"/>
  <c r="T13" i="2"/>
  <c r="T12" i="2"/>
  <c r="U12" i="2" s="1"/>
  <c r="T11" i="2"/>
  <c r="U11" i="2" s="1"/>
  <c r="T10" i="2"/>
  <c r="U9" i="2"/>
  <c r="T9" i="2"/>
  <c r="T8" i="2"/>
  <c r="T7" i="2"/>
  <c r="U7" i="2" s="1"/>
  <c r="T6" i="2"/>
  <c r="U6" i="2" s="1"/>
  <c r="V6" i="2" s="1"/>
  <c r="T5" i="2"/>
  <c r="T4" i="2"/>
  <c r="U4" i="2" s="1"/>
  <c r="T3" i="2"/>
  <c r="U3" i="2" s="1"/>
  <c r="U2" i="2"/>
  <c r="T2" i="2"/>
  <c r="V31" i="2" l="1"/>
  <c r="V15" i="2"/>
  <c r="V2" i="2"/>
  <c r="V76" i="2"/>
  <c r="V9" i="2"/>
  <c r="V87" i="2"/>
  <c r="V34" i="2"/>
  <c r="U10" i="2"/>
  <c r="V10" i="2" s="1"/>
  <c r="U17" i="2"/>
  <c r="V17" i="2" s="1"/>
  <c r="V23" i="2"/>
  <c r="U55" i="2"/>
  <c r="V55" i="2" s="1"/>
  <c r="U62" i="2"/>
  <c r="V62" i="2" s="1"/>
  <c r="V68" i="2"/>
  <c r="V92" i="2"/>
  <c r="V60" i="2"/>
  <c r="U79" i="2"/>
  <c r="V79" i="2" s="1"/>
  <c r="V46" i="2"/>
  <c r="V7" i="2"/>
  <c r="V39" i="2"/>
  <c r="V84" i="2"/>
  <c r="V100" i="2"/>
  <c r="U58" i="2"/>
  <c r="V58" i="2" s="1"/>
  <c r="U64" i="2"/>
  <c r="V64" i="2" s="1"/>
  <c r="U69" i="2"/>
  <c r="V69" i="2" s="1"/>
  <c r="V3" i="2"/>
  <c r="U5" i="2"/>
  <c r="U8" i="2"/>
  <c r="V8" i="2" s="1"/>
  <c r="V11" i="2"/>
  <c r="U13" i="2"/>
  <c r="V13" i="2" s="1"/>
  <c r="V19" i="2"/>
  <c r="U21" i="2"/>
  <c r="V21" i="2" s="1"/>
  <c r="V27" i="2"/>
  <c r="U29" i="2"/>
  <c r="V29" i="2" s="1"/>
  <c r="V35" i="2"/>
  <c r="U37" i="2"/>
  <c r="V37" i="2" s="1"/>
  <c r="V42" i="2"/>
  <c r="V44" i="2"/>
  <c r="U48" i="2"/>
  <c r="V48" i="2" s="1"/>
  <c r="V50" i="2"/>
  <c r="U56" i="2"/>
  <c r="V56" i="2" s="1"/>
  <c r="U61" i="2"/>
  <c r="V61" i="2" s="1"/>
  <c r="V32" i="2"/>
  <c r="V4" i="2"/>
  <c r="V12" i="2"/>
  <c r="V20" i="2"/>
  <c r="V28" i="2"/>
  <c r="V36" i="2"/>
  <c r="V41" i="2"/>
  <c r="U45" i="2"/>
  <c r="V45" i="2" s="1"/>
  <c r="V49" i="2"/>
  <c r="U53" i="2"/>
  <c r="V53" i="2" s="1"/>
  <c r="U74" i="2"/>
  <c r="V74" i="2" s="1"/>
  <c r="V16" i="2"/>
  <c r="V24" i="2"/>
  <c r="V40" i="2"/>
  <c r="U66" i="2"/>
  <c r="V66" i="2" s="1"/>
  <c r="U72" i="2"/>
  <c r="V72" i="2" s="1"/>
  <c r="U77" i="2"/>
  <c r="V77" i="2" s="1"/>
  <c r="V80" i="2"/>
  <c r="U82" i="2"/>
  <c r="V82" i="2" s="1"/>
  <c r="U85" i="2"/>
  <c r="V85" i="2" s="1"/>
  <c r="V88" i="2"/>
  <c r="U90" i="2"/>
  <c r="V90" i="2" s="1"/>
  <c r="U93" i="2"/>
  <c r="V93" i="2" s="1"/>
  <c r="V96" i="2"/>
  <c r="U98" i="2"/>
  <c r="V98" i="2" s="1"/>
  <c r="U101" i="2"/>
  <c r="V101" i="2" s="1"/>
  <c r="V57" i="2"/>
  <c r="V65" i="2"/>
  <c r="V73" i="2"/>
  <c r="V81" i="2"/>
  <c r="V89" i="2"/>
  <c r="V97" i="2"/>
  <c r="V5" i="2" l="1"/>
</calcChain>
</file>

<file path=xl/sharedStrings.xml><?xml version="1.0" encoding="utf-8"?>
<sst xmlns="http://schemas.openxmlformats.org/spreadsheetml/2006/main" count="1369" uniqueCount="333">
  <si>
    <t>Excel Practical Project: Sales, Customer &amp; Order Management Analysis</t>
  </si>
  <si>
    <t>Welcome &amp; Course Overview</t>
  </si>
  <si>
    <t>Target Audience:</t>
  </si>
  <si>
    <t>Beginner to Intermediate students learning Excel for office work, data analysis, and career development.</t>
  </si>
  <si>
    <t>Workbook Structure:</t>
  </si>
  <si>
    <t>This workbook consists of 9 structured sheets covering end-to-end data processing, practical analysis, and visual dashboarding.</t>
  </si>
  <si>
    <t>Sheet Descriptions &amp; Workflow:</t>
  </si>
  <si>
    <t>1. Instructions</t>
  </si>
  <si>
    <t>Project overview, key concepts, learning objectives, and guidance for students.</t>
  </si>
  <si>
    <t>2. Sales_Data</t>
  </si>
  <si>
    <t>Master raw dataset containing 100+ realistic Indian retail/wholesale transactions. Used for sorting, filtering, formulas, and conditional formatting.</t>
  </si>
  <si>
    <t>3. Data_Entry</t>
  </si>
  <si>
    <t>An interactive Order Entry Template incorporating Data Validation rules (drop-downs, range constraints, custom alert messages).</t>
  </si>
  <si>
    <t>4. Series_Practice</t>
  </si>
  <si>
    <t>Practical exercises for generating Linear, Growth, Date, Weekday, Month, and Custom AutoFill series.</t>
  </si>
  <si>
    <t>5. Analysis</t>
  </si>
  <si>
    <t>Calculated summary metrics using basic (SUM, AVERAGE, MIN, MAX) and conditional statistical functions (COUNT, COUNTA, COUNTIF, SUMIF, AVERAGEIF).</t>
  </si>
  <si>
    <t>6. Date_Practice</t>
  </si>
  <si>
    <t>Exercises focused on Date &amp; Time operations (TODAY, YEAR, MONTH, DAY, WEEKDAY, DATEDIF, EOMONTH, delivery duration calculations).</t>
  </si>
  <si>
    <t>7. Text_Practice</t>
  </si>
  <si>
    <t>Data cleaning and string manipulation exercises (TRIM, PROPER, LEFT, RIGHT, MID, CONCAT, TEXTJOIN, SUBSTITUTE, SEARCH).</t>
  </si>
  <si>
    <t>8. Dashboard</t>
  </si>
  <si>
    <t>Executive KPI summary cards and visual interactive charts summarizing Sales by Category, City, Salesperson, and Order Status.</t>
  </si>
  <si>
    <t>9. Final_Challenge</t>
  </si>
  <si>
    <t>Independent final assessment containing 10 business problem statements designed to test real-world proficiency.</t>
  </si>
  <si>
    <t>Order_ID</t>
  </si>
  <si>
    <t>Order_Date</t>
  </si>
  <si>
    <t>Customer_Name</t>
  </si>
  <si>
    <t>Gender</t>
  </si>
  <si>
    <t>Age</t>
  </si>
  <si>
    <t>City</t>
  </si>
  <si>
    <t>State</t>
  </si>
  <si>
    <t>Product_Category</t>
  </si>
  <si>
    <t>Product</t>
  </si>
  <si>
    <t>Salesperson</t>
  </si>
  <si>
    <t>Quantity</t>
  </si>
  <si>
    <t>Unit_Price</t>
  </si>
  <si>
    <t>Discount</t>
  </si>
  <si>
    <t>Payment_Mode</t>
  </si>
  <si>
    <t>Order_Status</t>
  </si>
  <si>
    <t>Delivery_Date</t>
  </si>
  <si>
    <t>Rating</t>
  </si>
  <si>
    <t>Customer_Type</t>
  </si>
  <si>
    <t>Remarks</t>
  </si>
  <si>
    <t>Total_Amount</t>
  </si>
  <si>
    <t>Discount_Amount</t>
  </si>
  <si>
    <t>Net_Sales</t>
  </si>
  <si>
    <t>ORD-1001</t>
  </si>
  <si>
    <t>Aarav Shah</t>
  </si>
  <si>
    <t>Female</t>
  </si>
  <si>
    <t>Pune</t>
  </si>
  <si>
    <t>Maharashtra</t>
  </si>
  <si>
    <t>Electronics</t>
  </si>
  <si>
    <t>Laptop</t>
  </si>
  <si>
    <t>Neha Gupta</t>
  </si>
  <si>
    <t>Cash</t>
  </si>
  <si>
    <t>Completed</t>
  </si>
  <si>
    <t>New</t>
  </si>
  <si>
    <t>Prompt delivery requested</t>
  </si>
  <si>
    <t>ORD-1002</t>
  </si>
  <si>
    <t>Vivaan Gaikwad</t>
  </si>
  <si>
    <t>Male</t>
  </si>
  <si>
    <t>Accessories</t>
  </si>
  <si>
    <t>USB Cable</t>
  </si>
  <si>
    <t>Sneha Kulkarni</t>
  </si>
  <si>
    <t>Net Banking</t>
  </si>
  <si>
    <t>Satisfied with service</t>
  </si>
  <si>
    <t>ORD-1003</t>
  </si>
  <si>
    <t>Arjun Nair</t>
  </si>
  <si>
    <t>Chennai</t>
  </si>
  <si>
    <t>Tamil Nadu</t>
  </si>
  <si>
    <t>Office Supplies</t>
  </si>
  <si>
    <t>Notebook</t>
  </si>
  <si>
    <t>Amit Sharma</t>
  </si>
  <si>
    <t>Credit Card</t>
  </si>
  <si>
    <t>Pending</t>
  </si>
  <si>
    <t>Returning</t>
  </si>
  <si>
    <t>Follow up needed</t>
  </si>
  <si>
    <t>ORD-1004</t>
  </si>
  <si>
    <t>Reyansh Bhat</t>
  </si>
  <si>
    <t>Nashik</t>
  </si>
  <si>
    <t>USB Drive</t>
  </si>
  <si>
    <t>Rajesh Khan</t>
  </si>
  <si>
    <t>ORD-1005</t>
  </si>
  <si>
    <t>Sanya Iyer</t>
  </si>
  <si>
    <t>File Folder</t>
  </si>
  <si>
    <t>UPI</t>
  </si>
  <si>
    <t>ORD-1006</t>
  </si>
  <si>
    <t>Omkar Salunkhe</t>
  </si>
  <si>
    <t>Bengaluru</t>
  </si>
  <si>
    <t>Karnataka</t>
  </si>
  <si>
    <t>Printer</t>
  </si>
  <si>
    <t>Debit Card</t>
  </si>
  <si>
    <t>ORD-1007</t>
  </si>
  <si>
    <t>Yash Borse</t>
  </si>
  <si>
    <t>Malegaon</t>
  </si>
  <si>
    <t>Calculator</t>
  </si>
  <si>
    <t>Rahul Verma</t>
  </si>
  <si>
    <t>ORD-1008</t>
  </si>
  <si>
    <t>Nagpur</t>
  </si>
  <si>
    <t>Keyboard</t>
  </si>
  <si>
    <t>Gift wrap required</t>
  </si>
  <si>
    <t>ORD-1009</t>
  </si>
  <si>
    <t>Priya Patel</t>
  </si>
  <si>
    <t>Standard packing</t>
  </si>
  <si>
    <t>ORD-1010</t>
  </si>
  <si>
    <t>ORD-1011</t>
  </si>
  <si>
    <t>ORD-1012</t>
  </si>
  <si>
    <t xml:space="preserve">  aarav shah </t>
  </si>
  <si>
    <t>Mouse</t>
  </si>
  <si>
    <t>ORD-1013</t>
  </si>
  <si>
    <t>Rohan Joshi</t>
  </si>
  <si>
    <t>Printer Paper</t>
  </si>
  <si>
    <t>ORD-1014</t>
  </si>
  <si>
    <t>Tanvi Nikam</t>
  </si>
  <si>
    <t>Ahmednagar</t>
  </si>
  <si>
    <t>ORD-1015</t>
  </si>
  <si>
    <t>ORD-1016</t>
  </si>
  <si>
    <t>Dhruv Sawant</t>
  </si>
  <si>
    <t>ORD-1017</t>
  </si>
  <si>
    <t>Jalgaon</t>
  </si>
  <si>
    <t>Call before delivery</t>
  </si>
  <si>
    <t>ORD-1018</t>
  </si>
  <si>
    <t>Dhule</t>
  </si>
  <si>
    <t>Headphones</t>
  </si>
  <si>
    <t>Cancelled</t>
  </si>
  <si>
    <t>ORD-1019</t>
  </si>
  <si>
    <t>Kabir Kulkarni</t>
  </si>
  <si>
    <t>Mumbai</t>
  </si>
  <si>
    <t>Handle with care</t>
  </si>
  <si>
    <t>ORD-1020</t>
  </si>
  <si>
    <t>Hyderabad</t>
  </si>
  <si>
    <t>Telangana</t>
  </si>
  <si>
    <t>ORD-1021</t>
  </si>
  <si>
    <t>Isha Mehta</t>
  </si>
  <si>
    <t>Webcam</t>
  </si>
  <si>
    <t>ORD-1022</t>
  </si>
  <si>
    <t>ORD-1023</t>
  </si>
  <si>
    <t>Delhi</t>
  </si>
  <si>
    <t>ORD-1024</t>
  </si>
  <si>
    <t>ORD-1026</t>
  </si>
  <si>
    <t>Aditi Deshmukh</t>
  </si>
  <si>
    <t>ORD-1027</t>
  </si>
  <si>
    <t>Vikas Rao</t>
  </si>
  <si>
    <t>ORD-1028</t>
  </si>
  <si>
    <t>Diya Pawar</t>
  </si>
  <si>
    <t>Power Bank</t>
  </si>
  <si>
    <t>ORD-1029</t>
  </si>
  <si>
    <t>Devansh More</t>
  </si>
  <si>
    <t>ORD-1030</t>
  </si>
  <si>
    <t>Monitor</t>
  </si>
  <si>
    <t>ORD-1031</t>
  </si>
  <si>
    <t>ORD-1032</t>
  </si>
  <si>
    <t>Pranav Jadhav</t>
  </si>
  <si>
    <t>ORD-1033</t>
  </si>
  <si>
    <t>Ananya Shinde</t>
  </si>
  <si>
    <t>ORD-1034</t>
  </si>
  <si>
    <t>ORD-1035</t>
  </si>
  <si>
    <t>ORD-1036</t>
  </si>
  <si>
    <t>ORD-1037</t>
  </si>
  <si>
    <t>Pen</t>
  </si>
  <si>
    <t>ORD-1038</t>
  </si>
  <si>
    <t xml:space="preserve">  siddharth shinde </t>
  </si>
  <si>
    <t>ORD-1039</t>
  </si>
  <si>
    <t>Aadhya Thorat</t>
  </si>
  <si>
    <t>ORD-1040</t>
  </si>
  <si>
    <t>ORD-1041</t>
  </si>
  <si>
    <t>Kiara Wagh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</si>
  <si>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</si>
  <si>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</si>
  <si>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</si>
  <si>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</si>
  <si>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</si>
  <si>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</si>
  <si>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</si>
  <si>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</si>
  <si>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</si>
  <si>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</si>
  <si>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</si>
  <si>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Anaya Kamble</t>
  </si>
  <si>
    <t>ORD-1053</t>
  </si>
  <si>
    <t>ORD-1054</t>
  </si>
  <si>
    <t>ORD-1055</t>
  </si>
  <si>
    <t>Myra Agarwal</t>
  </si>
  <si>
    <t>ORD-1056</t>
  </si>
  <si>
    <t>Vihaan Patil</t>
  </si>
  <si>
    <t>ORD-1057</t>
  </si>
  <si>
    <t>ORD-1058</t>
  </si>
  <si>
    <t>ORD-1059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</si>
  <si>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</si>
  <si>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</si>
  <si>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</si>
  <si>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</si>
  <si>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</si>
  <si>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</si>
  <si>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</si>
  <si>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</si>
  <si>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</si>
  <si>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</si>
  <si>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</si>
  <si>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Aurangabad</t>
  </si>
  <si>
    <t>ORD-1072</t>
  </si>
  <si>
    <t>ORD-1073</t>
  </si>
  <si>
    <t>ORD-1074</t>
  </si>
  <si>
    <t>ORD-1075</t>
  </si>
  <si>
    <t xml:space="preserve">  sanya iyer </t>
  </si>
  <si>
    <t>ORD-1076</t>
  </si>
  <si>
    <t>Pari Chaudhari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</si>
  <si>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</si>
  <si>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</si>
  <si>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</si>
  <si>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</si>
  <si>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</si>
  <si>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</si>
  <si>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</si>
  <si>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</si>
  <si>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</si>
  <si>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</si>
  <si>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</si>
  <si>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</si>
  <si>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</si>
  <si>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</si>
  <si>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Riya Kale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</si>
  <si>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</si>
  <si>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</si>
  <si>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</si>
  <si>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</si>
  <si>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</si>
  <si>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</si>
  <si>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</si>
  <si>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</si>
  <si>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</si>
  <si>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</si>
  <si>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Customer Order Entry Form</t>
  </si>
  <si>
    <t>Fill in the parameters below. Data validation rules ensure accurate input.</t>
  </si>
  <si>
    <t>Order ID</t>
  </si>
  <si>
    <t>(Auto-generated (e.g. ORD-1101))</t>
  </si>
  <si>
    <t>Order Date</t>
  </si>
  <si>
    <t>(=TODAY())</t>
  </si>
  <si>
    <t>Customer Name</t>
  </si>
  <si>
    <t>(Enter full name)</t>
  </si>
  <si>
    <t>(Select from drop-down)</t>
  </si>
  <si>
    <t>(Enter age (18 - 80))</t>
  </si>
  <si>
    <t>(Select City)</t>
  </si>
  <si>
    <t>(Select State)</t>
  </si>
  <si>
    <t>Product Category</t>
  </si>
  <si>
    <t>(Select Category)</t>
  </si>
  <si>
    <t>(Enter Product Name)</t>
  </si>
  <si>
    <t>(Select Salesperson)</t>
  </si>
  <si>
    <t>(Enter whole number (1 - 100))</t>
  </si>
  <si>
    <t>Unit Price (₹)</t>
  </si>
  <si>
    <t>(Enter unit price)</t>
  </si>
  <si>
    <t>Discount (%)</t>
  </si>
  <si>
    <t>(Enter discount (0% - 50%))</t>
  </si>
  <si>
    <t>Payment Mode</t>
  </si>
  <si>
    <t>(Select Payment Mode)</t>
  </si>
  <si>
    <t>Order Status</t>
  </si>
  <si>
    <t>(Select Status)</t>
  </si>
  <si>
    <t>Customer Type</t>
  </si>
  <si>
    <t>(Select Customer Type)</t>
  </si>
  <si>
    <t>(Enter rating (1 - 5))</t>
  </si>
  <si>
    <t>Excel Series &amp; AutoFill Exercises</t>
  </si>
  <si>
    <t>Number Series (1,2,3...)</t>
  </si>
  <si>
    <t>Even Numbers (2,4,6...)</t>
  </si>
  <si>
    <t>Odd Numbers (1,3,5...)</t>
  </si>
  <si>
    <t>Daily Date Series</t>
  </si>
  <si>
    <t>Weekday Series</t>
  </si>
  <si>
    <t>Month Series</t>
  </si>
  <si>
    <t>Month-Year Series</t>
  </si>
  <si>
    <t>Custom List Series</t>
  </si>
  <si>
    <t>Key Performance Metrics &amp; Practical Analysis</t>
  </si>
  <si>
    <t>1. Overall Dataset Summary (Mathematical Functions)</t>
  </si>
  <si>
    <t>2. Order Status Breakdown</t>
  </si>
  <si>
    <t>Metric Description</t>
  </si>
  <si>
    <t>Formula / Value</t>
  </si>
  <si>
    <t>Order Count (COUNTIF)</t>
  </si>
  <si>
    <t>Net Sales (SUMIF)</t>
  </si>
  <si>
    <t>Total Quantity Sold</t>
  </si>
  <si>
    <t>Total Sales Amount (Gross)</t>
  </si>
  <si>
    <t>Total Discount Amount</t>
  </si>
  <si>
    <t>Net Revenue / Net Sales</t>
  </si>
  <si>
    <t>Average Unit Price</t>
  </si>
  <si>
    <t>Highest Unit Price</t>
  </si>
  <si>
    <t>3. Sales Performance by Category</t>
  </si>
  <si>
    <t>Lowest Unit Price</t>
  </si>
  <si>
    <t>Category</t>
  </si>
  <si>
    <t>Total Net Sales</t>
  </si>
  <si>
    <t>Average Rating</t>
  </si>
  <si>
    <t>Average Discount %</t>
  </si>
  <si>
    <t>Total Orders Count</t>
  </si>
  <si>
    <t>Date &amp; Time Functions Exercises</t>
  </si>
  <si>
    <t>Order_Year</t>
  </si>
  <si>
    <t>Order_Month</t>
  </si>
  <si>
    <t>Order_Day</t>
  </si>
  <si>
    <t>Day_of_Week</t>
  </si>
  <si>
    <t>Week_Number</t>
  </si>
  <si>
    <t>Delivery_Duration_Days</t>
  </si>
  <si>
    <t>End_of_Month_Date</t>
  </si>
  <si>
    <t>Text &amp; Data Cleaning Functions Exercises</t>
  </si>
  <si>
    <t>Raw_Customer_Name</t>
  </si>
  <si>
    <t>Clean_Name (TRIM/PROPER)</t>
  </si>
  <si>
    <t>Name_Length (LEN)</t>
  </si>
  <si>
    <t>First_3_Chars (LEFT)</t>
  </si>
  <si>
    <t>Last_4_Digits (RIGHT)</t>
  </si>
  <si>
    <t>Full_Location (TEXTJOIN)</t>
  </si>
  <si>
    <t>EXECUTIVE SALES &amp; CUSTOMER MANAGEMENT DASHBOARD</t>
  </si>
  <si>
    <t>Final Practical Examination: Independent Student Assessment</t>
  </si>
  <si>
    <t>Task # &amp; Challenge Title</t>
  </si>
  <si>
    <t>Instructions &amp; Required Deliverable</t>
  </si>
  <si>
    <t>Challenge 1: Top 10 Orders by Net Sales</t>
  </si>
  <si>
    <t>Use Sort &amp; Filter or LARGE() formula to identify the top 10 transactions by revenue.</t>
  </si>
  <si>
    <t>Challenge 2: Top 5 Products by Quantity</t>
  </si>
  <si>
    <t>Create a summary using SUMIF to determine which 5 products had the highest total unit volume.</t>
  </si>
  <si>
    <t>Challenge 3: Highest Sales City</t>
  </si>
  <si>
    <t>Use SUMIF to compare revenue across all 13 cities and identify the top performing region.</t>
  </si>
  <si>
    <t>Challenge 4: Monthly Revenue Trend</t>
  </si>
  <si>
    <t>Extract order month using Date functions and aggregate monthly sales figures.</t>
  </si>
  <si>
    <t>Challenge 5: Top Salesperson</t>
  </si>
  <si>
    <t>Calculate total net sales generated by each sales representative to crown the top performer.</t>
  </si>
  <si>
    <t>Challenge 6: High-Value Loyal Customer Filter</t>
  </si>
  <si>
    <t>Filter rows where Customer_Type = 'Returning', Rating &gt;= 4, and Net_Sales &gt; ₹10,000.</t>
  </si>
  <si>
    <t>Challenge 7: Overdue Delivery Tracking</t>
  </si>
  <si>
    <t>Use formula =AND(Order_Status='Pending', Delivery_Date &lt; TODAY()) to flag delayed shipments.</t>
  </si>
  <si>
    <t>Challenge 8: Multi-Level Order Status Sorting</t>
  </si>
  <si>
    <t>Perform a custom sort: Completed (Top) -&gt; Pending (Middle) -&gt; Cancelled (Bottom).</t>
  </si>
  <si>
    <t>Challenge 9: Key Account Highlight Rule</t>
  </si>
  <si>
    <t>Apply Conditional Formatting formula to highlight rows where Net_Sales &gt; ₹20,000 AND Rating &gt;= 4.</t>
  </si>
  <si>
    <t>Challenge 10: Executive Summary Presentation</t>
  </si>
  <si>
    <t>Combine formulas and visual formatting to build an executive presentation report.</t>
  </si>
  <si>
    <t>Average Order Value</t>
  </si>
  <si>
    <t>New Vs Returning Customer Count</t>
  </si>
  <si>
    <t>Average Delivery Time</t>
  </si>
  <si>
    <t>4. Practical Business Questions and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</si>
</sst>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dd\-mmm\-yyyy"/>
    <numFmt numFmtId="167" formatCode="[$₹-4009]\ #,##0.00"/>
    <numFmt numFmtId="168" formatCode="0.0%"/>
    <numFmt numFmtId="169" formatCode="0.0&quot; ★&quot;"/>
    <numFmt numFmtId="170" formatCode="mmm\-yyyy"/>
    <numFmt numFmtId="171" formatCode="0&quot; Days&quot;"/>
    <numFmt numFmtId="175" formatCode="#,##0\ &quot;Units&quot;"/>
    <numFmt numFmtId="177" formatCode="#,##0.00\ \★"/>
    <numFmt numFmtId="181" formatCode="#,##0\ &quot;Day&quot;"/>
  </numFmts>
  <fonts count="8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b/>
      <sz val="13"/>
      <color rgb="FF1B365D"/>
      <name val="Segoe UI"/>
    </font>
    <font>
      <b/>
      <sz val="11"/>
      <name val="Segoe UI"/>
    </font>
    <font>
      <sz val="11"/>
      <name val="Segoe UI"/>
    </font>
    <font>
      <b/>
      <sz val="11"/>
      <color rgb="FFFFFFFF"/>
      <name val="Segoe UI"/>
    </font>
    <font>
      <i/>
      <sz val="10"/>
      <color rgb="FF4A5568"/>
      <name val="Segoe UI"/>
    </font>
    <font>
      <b/>
      <sz val="13"/>
      <color rgb="FF1B365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2D6DC"/>
      </left>
      <right style="thin">
        <color rgb="FFD2D6DC"/>
      </right>
      <top style="thin">
        <color rgb="FFD2D6DC"/>
      </top>
      <bottom style="thin">
        <color rgb="FFD2D6D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5" fillId="2" borderId="0" xfId="0" applyFont="1" applyFill="1"/>
    <xf numFmtId="0" fontId="4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168" fontId="3" fillId="0" borderId="1" xfId="0" applyNumberFormat="1" applyFont="1" applyBorder="1" applyAlignment="1">
      <alignment horizontal="right"/>
    </xf>
    <xf numFmtId="169" fontId="4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71" fontId="0" fillId="0" borderId="0" xfId="0" applyNumberFormat="1" applyAlignment="1">
      <alignment horizontal="center"/>
    </xf>
    <xf numFmtId="0" fontId="3" fillId="0" borderId="1" xfId="0" applyFont="1" applyBorder="1"/>
    <xf numFmtId="167" fontId="0" fillId="0" borderId="0" xfId="0" applyNumberFormat="1"/>
    <xf numFmtId="175" fontId="0" fillId="0" borderId="0" xfId="0" applyNumberFormat="1"/>
    <xf numFmtId="177" fontId="0" fillId="0" borderId="0" xfId="0" applyNumberFormat="1"/>
    <xf numFmtId="14" fontId="0" fillId="0" borderId="0" xfId="0" applyNumberFormat="1"/>
    <xf numFmtId="0" fontId="7" fillId="0" borderId="0" xfId="0" applyFont="1"/>
    <xf numFmtId="181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5" sqref="A25"/>
    </sheetView>
  </sheetViews>
  <sheetFormatPr defaultRowHeight="15" x14ac:dyDescent="0.25"/>
  <cols>
    <col min="1" max="1" width="40" customWidth="1"/>
    <col min="2" max="2" width="59" customWidth="1"/>
  </cols>
  <sheetData>
    <row r="1" spans="1:2" ht="25.5" x14ac:dyDescent="0.5">
      <c r="A1" s="1" t="s">
        <v>0</v>
      </c>
    </row>
    <row r="3" spans="1:2" ht="18.75" x14ac:dyDescent="0.35">
      <c r="A3" s="2" t="s">
        <v>1</v>
      </c>
    </row>
    <row r="4" spans="1:2" ht="16.5" x14ac:dyDescent="0.3">
      <c r="A4" s="3" t="s">
        <v>2</v>
      </c>
      <c r="B4" s="4" t="s">
        <v>3</v>
      </c>
    </row>
    <row r="5" spans="1:2" ht="16.5" x14ac:dyDescent="0.3">
      <c r="A5" s="3" t="s">
        <v>4</v>
      </c>
      <c r="B5" s="4" t="s">
        <v>5</v>
      </c>
    </row>
    <row r="6" spans="1:2" ht="16.5" x14ac:dyDescent="0.3">
      <c r="B6" s="4"/>
    </row>
    <row r="7" spans="1:2" ht="16.5" x14ac:dyDescent="0.3">
      <c r="A7" s="3" t="s">
        <v>6</v>
      </c>
      <c r="B7" s="4"/>
    </row>
    <row r="8" spans="1:2" ht="16.5" x14ac:dyDescent="0.3">
      <c r="A8" s="3" t="s">
        <v>7</v>
      </c>
      <c r="B8" s="4" t="s">
        <v>8</v>
      </c>
    </row>
    <row r="9" spans="1:2" ht="16.5" x14ac:dyDescent="0.3">
      <c r="A9" s="3" t="s">
        <v>9</v>
      </c>
      <c r="B9" s="4" t="s">
        <v>10</v>
      </c>
    </row>
    <row r="10" spans="1:2" ht="16.5" x14ac:dyDescent="0.3">
      <c r="A10" s="3" t="s">
        <v>11</v>
      </c>
      <c r="B10" s="4" t="s">
        <v>12</v>
      </c>
    </row>
    <row r="11" spans="1:2" ht="16.5" x14ac:dyDescent="0.3">
      <c r="A11" s="3" t="s">
        <v>13</v>
      </c>
      <c r="B11" s="4" t="s">
        <v>14</v>
      </c>
    </row>
    <row r="12" spans="1:2" ht="16.5" x14ac:dyDescent="0.3">
      <c r="A12" s="3" t="s">
        <v>15</v>
      </c>
      <c r="B12" s="4" t="s">
        <v>16</v>
      </c>
    </row>
    <row r="13" spans="1:2" ht="16.5" x14ac:dyDescent="0.3">
      <c r="A13" s="3" t="s">
        <v>17</v>
      </c>
      <c r="B13" s="4" t="s">
        <v>18</v>
      </c>
    </row>
    <row r="14" spans="1:2" ht="16.5" x14ac:dyDescent="0.3">
      <c r="A14" s="3" t="s">
        <v>19</v>
      </c>
      <c r="B14" s="4" t="s">
        <v>20</v>
      </c>
    </row>
    <row r="15" spans="1:2" ht="16.5" x14ac:dyDescent="0.3">
      <c r="A15" s="3" t="s">
        <v>21</v>
      </c>
      <c r="B15" s="4" t="s">
        <v>22</v>
      </c>
    </row>
    <row r="16" spans="1:2" ht="16.5" x14ac:dyDescent="0.3">
      <c r="A16" s="3" t="s">
        <v>23</v>
      </c>
      <c r="B16" s="4" t="s">
        <v>24</v>
      </c>
    </row>
    <row r="17" spans="1:14" ht="16.5" x14ac:dyDescent="0.3">
      <c r="B17" s="4"/>
    </row>
    <row r="18" spans="1:14" ht="16.5" x14ac:dyDescent="0.3">
      <c r="A18" s="3"/>
      <c r="B18" s="4"/>
      <c r="J18" s="22"/>
    </row>
    <row r="19" spans="1:14" ht="16.5" x14ac:dyDescent="0.3">
      <c r="A19" s="3"/>
      <c r="B19" s="4"/>
    </row>
    <row r="20" spans="1:14" ht="16.5" x14ac:dyDescent="0.3">
      <c r="A20" s="3"/>
      <c r="B20" s="4"/>
      <c r="J20" s="23"/>
      <c r="L20" s="24"/>
      <c r="N20" s="24"/>
    </row>
    <row r="21" spans="1:14" ht="16.5" x14ac:dyDescent="0.3">
      <c r="A21" s="3"/>
      <c r="B21" s="4"/>
      <c r="J21" s="23"/>
      <c r="L21" s="24"/>
      <c r="N21" s="24"/>
    </row>
    <row r="22" spans="1:14" ht="16.5" x14ac:dyDescent="0.3">
      <c r="A22" s="3"/>
      <c r="B22" s="4"/>
      <c r="J22" s="23"/>
      <c r="L22" s="24"/>
      <c r="N22" s="24"/>
    </row>
    <row r="23" spans="1:14" x14ac:dyDescent="0.25">
      <c r="J23" s="23"/>
      <c r="L23" s="24"/>
      <c r="N23" s="2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"/>
  <sheetViews>
    <sheetView topLeftCell="J1" workbookViewId="0">
      <selection activeCell="N93" sqref="N93"/>
    </sheetView>
  </sheetViews>
  <sheetFormatPr defaultRowHeight="15" x14ac:dyDescent="0.25"/>
  <cols>
    <col min="1" max="1" width="12" customWidth="1"/>
    <col min="2" max="2" width="14" style="25" customWidth="1"/>
    <col min="3" max="3" width="23" customWidth="1"/>
    <col min="4" max="5" width="12" customWidth="1"/>
    <col min="6" max="6" width="14" customWidth="1"/>
    <col min="7" max="7" width="15" customWidth="1"/>
    <col min="8" max="8" width="20" customWidth="1"/>
    <col min="9" max="9" width="17" customWidth="1"/>
    <col min="10" max="10" width="18" customWidth="1"/>
    <col min="11" max="11" width="12" customWidth="1"/>
    <col min="12" max="12" width="14" customWidth="1"/>
    <col min="13" max="13" width="12" customWidth="1"/>
    <col min="14" max="15" width="16" customWidth="1"/>
    <col min="16" max="16" width="17" customWidth="1"/>
    <col min="17" max="17" width="12" customWidth="1"/>
    <col min="18" max="18" width="17" customWidth="1"/>
    <col min="19" max="19" width="29" customWidth="1"/>
    <col min="20" max="20" width="16" customWidth="1"/>
    <col min="21" max="21" width="19" customWidth="1"/>
    <col min="22" max="22" width="14" customWidth="1"/>
  </cols>
  <sheetData>
    <row r="1" spans="1:22" ht="27.95" customHeight="1" x14ac:dyDescent="0.25">
      <c r="A1" t="s">
        <v>25</v>
      </c>
      <c r="B1" s="25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</row>
    <row r="2" spans="1:22" ht="20.100000000000001" customHeight="1" x14ac:dyDescent="0.25">
      <c r="A2" t="s">
        <v>47</v>
      </c>
      <c r="B2" s="25">
        <v>46186</v>
      </c>
      <c r="C2" t="s">
        <v>48</v>
      </c>
      <c r="D2" t="s">
        <v>49</v>
      </c>
      <c r="E2">
        <v>36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24</v>
      </c>
      <c r="L2">
        <v>55000</v>
      </c>
      <c r="M2">
        <v>0.2</v>
      </c>
      <c r="N2" t="s">
        <v>55</v>
      </c>
      <c r="O2" t="s">
        <v>56</v>
      </c>
      <c r="P2" s="25">
        <v>46187</v>
      </c>
      <c r="Q2">
        <v>1</v>
      </c>
      <c r="R2" t="s">
        <v>57</v>
      </c>
      <c r="S2" t="s">
        <v>58</v>
      </c>
      <c r="T2">
        <f>K2*L2</f>
        <v>1320000</v>
      </c>
      <c r="U2">
        <f>T2*M2</f>
        <v>264000</v>
      </c>
      <c r="V2">
        <f>T2-U2</f>
        <v>1056000</v>
      </c>
    </row>
    <row r="3" spans="1:22" ht="20.100000000000001" customHeight="1" x14ac:dyDescent="0.25">
      <c r="A3" t="s">
        <v>59</v>
      </c>
      <c r="B3" s="25">
        <v>46078</v>
      </c>
      <c r="C3" t="s">
        <v>60</v>
      </c>
      <c r="D3" t="s">
        <v>61</v>
      </c>
      <c r="E3">
        <v>56</v>
      </c>
      <c r="F3" t="s">
        <v>50</v>
      </c>
      <c r="G3" t="s">
        <v>51</v>
      </c>
      <c r="H3" t="s">
        <v>62</v>
      </c>
      <c r="I3" t="s">
        <v>63</v>
      </c>
      <c r="J3" t="s">
        <v>64</v>
      </c>
      <c r="K3">
        <v>8</v>
      </c>
      <c r="L3">
        <v>250</v>
      </c>
      <c r="M3">
        <v>0.15</v>
      </c>
      <c r="N3" t="s">
        <v>65</v>
      </c>
      <c r="O3" t="s">
        <v>56</v>
      </c>
      <c r="P3" s="25">
        <v>46080</v>
      </c>
      <c r="Q3">
        <v>1</v>
      </c>
      <c r="R3" t="s">
        <v>57</v>
      </c>
      <c r="S3" t="s">
        <v>66</v>
      </c>
      <c r="T3">
        <f>K3*L3</f>
        <v>2000</v>
      </c>
      <c r="U3">
        <f>T3*M3</f>
        <v>300</v>
      </c>
      <c r="V3">
        <f>T3-U3</f>
        <v>1700</v>
      </c>
    </row>
    <row r="4" spans="1:22" ht="20.100000000000001" customHeight="1" x14ac:dyDescent="0.25">
      <c r="A4" t="s">
        <v>67</v>
      </c>
      <c r="B4" s="25">
        <v>46131</v>
      </c>
      <c r="C4" t="s">
        <v>68</v>
      </c>
      <c r="D4" t="s">
        <v>61</v>
      </c>
      <c r="E4">
        <v>34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>
        <v>13</v>
      </c>
      <c r="L4">
        <v>150</v>
      </c>
      <c r="M4">
        <v>0</v>
      </c>
      <c r="N4" t="s">
        <v>74</v>
      </c>
      <c r="O4" t="s">
        <v>75</v>
      </c>
      <c r="P4" s="25">
        <v>46134</v>
      </c>
      <c r="Q4">
        <v>5</v>
      </c>
      <c r="R4" t="s">
        <v>76</v>
      </c>
      <c r="S4" t="s">
        <v>77</v>
      </c>
      <c r="T4">
        <f>K4*L4</f>
        <v>1950</v>
      </c>
      <c r="U4">
        <f>T4*M4</f>
        <v>0</v>
      </c>
      <c r="V4">
        <f>T4-U4</f>
        <v>1950</v>
      </c>
    </row>
    <row r="5" spans="1:22" ht="20.100000000000001" customHeight="1" x14ac:dyDescent="0.25">
      <c r="A5" t="s">
        <v>78</v>
      </c>
      <c r="B5" s="25">
        <v>46034</v>
      </c>
      <c r="C5" t="s">
        <v>79</v>
      </c>
      <c r="D5" t="s">
        <v>61</v>
      </c>
      <c r="E5">
        <v>45</v>
      </c>
      <c r="F5" t="s">
        <v>80</v>
      </c>
      <c r="G5" t="s">
        <v>51</v>
      </c>
      <c r="H5" t="s">
        <v>62</v>
      </c>
      <c r="I5" t="s">
        <v>81</v>
      </c>
      <c r="J5" t="s">
        <v>82</v>
      </c>
      <c r="K5">
        <v>21</v>
      </c>
      <c r="L5">
        <v>750</v>
      </c>
      <c r="M5">
        <v>0.2</v>
      </c>
      <c r="N5" t="s">
        <v>74</v>
      </c>
      <c r="O5" t="s">
        <v>56</v>
      </c>
      <c r="P5" s="25">
        <v>46040</v>
      </c>
      <c r="Q5">
        <v>1</v>
      </c>
      <c r="R5" t="s">
        <v>57</v>
      </c>
      <c r="S5" t="s">
        <v>66</v>
      </c>
      <c r="T5">
        <f>K5*L5</f>
        <v>15750</v>
      </c>
      <c r="U5">
        <f>T5*M5</f>
        <v>3150</v>
      </c>
      <c r="V5">
        <f>T5-U5</f>
        <v>12600</v>
      </c>
    </row>
    <row r="6" spans="1:22" ht="20.100000000000001" customHeight="1" x14ac:dyDescent="0.25">
      <c r="A6" t="s">
        <v>83</v>
      </c>
      <c r="B6" s="25">
        <v>46081</v>
      </c>
      <c r="C6" t="s">
        <v>84</v>
      </c>
      <c r="D6" t="s">
        <v>61</v>
      </c>
      <c r="E6">
        <v>35</v>
      </c>
      <c r="F6" t="s">
        <v>80</v>
      </c>
      <c r="G6" t="s">
        <v>51</v>
      </c>
      <c r="H6" t="s">
        <v>71</v>
      </c>
      <c r="I6" t="s">
        <v>85</v>
      </c>
      <c r="J6" t="s">
        <v>64</v>
      </c>
      <c r="K6">
        <v>21</v>
      </c>
      <c r="L6">
        <v>85</v>
      </c>
      <c r="M6">
        <v>0.1</v>
      </c>
      <c r="N6" t="s">
        <v>86</v>
      </c>
      <c r="O6" t="s">
        <v>56</v>
      </c>
      <c r="P6" s="25">
        <v>46088</v>
      </c>
      <c r="Q6">
        <v>2</v>
      </c>
      <c r="R6" t="s">
        <v>76</v>
      </c>
      <c r="S6" t="s">
        <v>66</v>
      </c>
      <c r="T6">
        <f>K6*L6</f>
        <v>1785</v>
      </c>
      <c r="U6">
        <f>T6*M6</f>
        <v>178.5</v>
      </c>
      <c r="V6">
        <f>T6-U6</f>
        <v>1606.5</v>
      </c>
    </row>
    <row r="7" spans="1:22" ht="20.100000000000001" customHeight="1" x14ac:dyDescent="0.25">
      <c r="A7" t="s">
        <v>87</v>
      </c>
      <c r="B7" s="25">
        <v>46262</v>
      </c>
      <c r="C7" t="s">
        <v>88</v>
      </c>
      <c r="D7" t="s">
        <v>61</v>
      </c>
      <c r="E7">
        <v>59</v>
      </c>
      <c r="F7" t="s">
        <v>89</v>
      </c>
      <c r="G7" t="s">
        <v>90</v>
      </c>
      <c r="H7" t="s">
        <v>52</v>
      </c>
      <c r="I7" t="s">
        <v>91</v>
      </c>
      <c r="J7" t="s">
        <v>54</v>
      </c>
      <c r="K7">
        <v>8</v>
      </c>
      <c r="L7">
        <v>12500</v>
      </c>
      <c r="M7">
        <v>0.05</v>
      </c>
      <c r="N7" t="s">
        <v>92</v>
      </c>
      <c r="O7" t="s">
        <v>56</v>
      </c>
      <c r="P7" s="25">
        <v>46268</v>
      </c>
      <c r="Q7">
        <v>5</v>
      </c>
      <c r="R7" t="s">
        <v>57</v>
      </c>
      <c r="S7" t="s">
        <v>66</v>
      </c>
      <c r="T7">
        <f>K7*L7</f>
        <v>100000</v>
      </c>
      <c r="U7">
        <f>T7*M7</f>
        <v>5000</v>
      </c>
      <c r="V7">
        <f>T7-U7</f>
        <v>95000</v>
      </c>
    </row>
    <row r="8" spans="1:22" ht="20.100000000000001" customHeight="1" x14ac:dyDescent="0.25">
      <c r="A8" t="s">
        <v>93</v>
      </c>
      <c r="B8" s="25">
        <v>46106</v>
      </c>
      <c r="C8" t="s">
        <v>94</v>
      </c>
      <c r="D8" t="s">
        <v>61</v>
      </c>
      <c r="E8">
        <v>35</v>
      </c>
      <c r="F8" t="s">
        <v>95</v>
      </c>
      <c r="G8" t="s">
        <v>51</v>
      </c>
      <c r="H8" t="s">
        <v>71</v>
      </c>
      <c r="I8" t="s">
        <v>96</v>
      </c>
      <c r="J8" t="s">
        <v>97</v>
      </c>
      <c r="K8">
        <v>3</v>
      </c>
      <c r="L8">
        <v>450</v>
      </c>
      <c r="M8">
        <v>0.05</v>
      </c>
      <c r="N8" t="s">
        <v>65</v>
      </c>
      <c r="O8" t="s">
        <v>75</v>
      </c>
      <c r="P8" s="25">
        <v>46113</v>
      </c>
      <c r="Q8">
        <v>3</v>
      </c>
      <c r="R8" t="s">
        <v>57</v>
      </c>
      <c r="S8" t="s">
        <v>66</v>
      </c>
      <c r="T8">
        <f>K8*L8</f>
        <v>1350</v>
      </c>
      <c r="U8">
        <f>T8*M8</f>
        <v>67.5</v>
      </c>
      <c r="V8">
        <f>T8-U8</f>
        <v>1282.5</v>
      </c>
    </row>
    <row r="9" spans="1:22" ht="20.100000000000001" customHeight="1" x14ac:dyDescent="0.25">
      <c r="A9" t="s">
        <v>98</v>
      </c>
      <c r="B9" s="25">
        <v>46150</v>
      </c>
      <c r="C9" t="s">
        <v>88</v>
      </c>
      <c r="D9" t="s">
        <v>49</v>
      </c>
      <c r="E9">
        <v>30</v>
      </c>
      <c r="F9" t="s">
        <v>99</v>
      </c>
      <c r="G9" t="s">
        <v>51</v>
      </c>
      <c r="H9" t="s">
        <v>52</v>
      </c>
      <c r="I9" t="s">
        <v>100</v>
      </c>
      <c r="J9" t="s">
        <v>54</v>
      </c>
      <c r="K9">
        <v>18</v>
      </c>
      <c r="L9">
        <v>1200</v>
      </c>
      <c r="M9">
        <v>0.2</v>
      </c>
      <c r="N9" t="s">
        <v>74</v>
      </c>
      <c r="O9" t="s">
        <v>75</v>
      </c>
      <c r="P9" s="25">
        <v>46154</v>
      </c>
      <c r="Q9">
        <v>4</v>
      </c>
      <c r="R9" t="s">
        <v>76</v>
      </c>
      <c r="S9" t="s">
        <v>101</v>
      </c>
      <c r="T9">
        <f>K9*L9</f>
        <v>21600</v>
      </c>
      <c r="U9">
        <f>T9*M9</f>
        <v>4320</v>
      </c>
      <c r="V9">
        <f>T9-U9</f>
        <v>17280</v>
      </c>
    </row>
    <row r="10" spans="1:22" ht="20.100000000000001" customHeight="1" x14ac:dyDescent="0.25">
      <c r="A10" t="s">
        <v>102</v>
      </c>
      <c r="B10" s="25">
        <v>46079</v>
      </c>
      <c r="C10" t="s">
        <v>60</v>
      </c>
      <c r="D10" t="s">
        <v>49</v>
      </c>
      <c r="E10">
        <v>26</v>
      </c>
      <c r="F10" t="s">
        <v>69</v>
      </c>
      <c r="G10" t="s">
        <v>70</v>
      </c>
      <c r="H10" t="s">
        <v>52</v>
      </c>
      <c r="I10" t="s">
        <v>53</v>
      </c>
      <c r="J10" t="s">
        <v>103</v>
      </c>
      <c r="K10">
        <v>21</v>
      </c>
      <c r="L10">
        <v>55000</v>
      </c>
      <c r="M10">
        <v>0.05</v>
      </c>
      <c r="N10" t="s">
        <v>92</v>
      </c>
      <c r="O10" t="s">
        <v>56</v>
      </c>
      <c r="P10" s="25">
        <v>46081</v>
      </c>
      <c r="Q10">
        <v>4</v>
      </c>
      <c r="R10" t="s">
        <v>76</v>
      </c>
      <c r="S10" t="s">
        <v>104</v>
      </c>
      <c r="T10">
        <f>K10*L10</f>
        <v>1155000</v>
      </c>
      <c r="U10">
        <f>T10*M10</f>
        <v>57750</v>
      </c>
      <c r="V10">
        <f>T10-U10</f>
        <v>1097250</v>
      </c>
    </row>
    <row r="11" spans="1:22" ht="20.100000000000001" customHeight="1" x14ac:dyDescent="0.25">
      <c r="A11" t="s">
        <v>105</v>
      </c>
      <c r="B11" s="25">
        <v>46142</v>
      </c>
      <c r="C11" t="s">
        <v>68</v>
      </c>
      <c r="D11" t="s">
        <v>61</v>
      </c>
      <c r="E11">
        <v>28</v>
      </c>
      <c r="F11" t="s">
        <v>89</v>
      </c>
      <c r="G11" t="s">
        <v>90</v>
      </c>
      <c r="H11" t="s">
        <v>62</v>
      </c>
      <c r="I11" t="s">
        <v>81</v>
      </c>
      <c r="J11" t="s">
        <v>82</v>
      </c>
      <c r="K11">
        <v>21</v>
      </c>
      <c r="L11">
        <v>750</v>
      </c>
      <c r="M11">
        <v>0.1</v>
      </c>
      <c r="N11" t="s">
        <v>55</v>
      </c>
      <c r="O11" t="s">
        <v>56</v>
      </c>
      <c r="P11" s="25">
        <v>46147</v>
      </c>
      <c r="Q11">
        <v>2</v>
      </c>
      <c r="R11" t="s">
        <v>76</v>
      </c>
      <c r="S11" t="s">
        <v>58</v>
      </c>
      <c r="T11">
        <f>K11*L11</f>
        <v>15750</v>
      </c>
      <c r="U11">
        <f>T11*M11</f>
        <v>1575</v>
      </c>
      <c r="V11">
        <f>T11-U11</f>
        <v>14175</v>
      </c>
    </row>
    <row r="12" spans="1:22" ht="20.100000000000001" customHeight="1" x14ac:dyDescent="0.25">
      <c r="A12" t="s">
        <v>106</v>
      </c>
      <c r="B12" s="25">
        <v>46207</v>
      </c>
      <c r="C12" t="s">
        <v>68</v>
      </c>
      <c r="D12" t="s">
        <v>61</v>
      </c>
      <c r="E12">
        <v>53</v>
      </c>
      <c r="F12" t="s">
        <v>80</v>
      </c>
      <c r="G12" t="s">
        <v>51</v>
      </c>
      <c r="H12" t="s">
        <v>62</v>
      </c>
      <c r="I12" t="s">
        <v>81</v>
      </c>
      <c r="J12" t="s">
        <v>82</v>
      </c>
      <c r="K12">
        <v>21</v>
      </c>
      <c r="L12">
        <v>750</v>
      </c>
      <c r="M12">
        <v>0.2</v>
      </c>
      <c r="N12" t="s">
        <v>65</v>
      </c>
      <c r="O12" t="s">
        <v>56</v>
      </c>
      <c r="P12" s="25">
        <v>46213</v>
      </c>
      <c r="Q12">
        <v>3</v>
      </c>
      <c r="R12" t="s">
        <v>57</v>
      </c>
      <c r="S12" t="s">
        <v>104</v>
      </c>
      <c r="T12">
        <f>K12*L12</f>
        <v>15750</v>
      </c>
      <c r="U12">
        <f>T12*M12</f>
        <v>3150</v>
      </c>
      <c r="V12">
        <f>T12-U12</f>
        <v>12600</v>
      </c>
    </row>
    <row r="13" spans="1:22" ht="20.100000000000001" customHeight="1" x14ac:dyDescent="0.25">
      <c r="A13" t="s">
        <v>107</v>
      </c>
      <c r="B13" s="25">
        <v>46222</v>
      </c>
      <c r="C13" t="s">
        <v>108</v>
      </c>
      <c r="D13" t="s">
        <v>49</v>
      </c>
      <c r="E13">
        <v>52</v>
      </c>
      <c r="F13" t="s">
        <v>95</v>
      </c>
      <c r="G13" t="s">
        <v>51</v>
      </c>
      <c r="H13" t="s">
        <v>52</v>
      </c>
      <c r="I13" t="s">
        <v>109</v>
      </c>
      <c r="J13" t="s">
        <v>82</v>
      </c>
      <c r="K13">
        <v>10</v>
      </c>
      <c r="L13">
        <v>650</v>
      </c>
      <c r="M13">
        <v>0.05</v>
      </c>
      <c r="N13" t="s">
        <v>55</v>
      </c>
      <c r="O13" t="s">
        <v>56</v>
      </c>
      <c r="P13" s="25">
        <v>46227</v>
      </c>
      <c r="Q13">
        <v>5</v>
      </c>
      <c r="R13" t="s">
        <v>57</v>
      </c>
      <c r="S13" t="s">
        <v>58</v>
      </c>
      <c r="T13">
        <f>K13*L13</f>
        <v>6500</v>
      </c>
      <c r="U13">
        <f>T13*M13</f>
        <v>325</v>
      </c>
      <c r="V13">
        <f>T13-U13</f>
        <v>6175</v>
      </c>
    </row>
    <row r="14" spans="1:22" ht="20.100000000000001" customHeight="1" x14ac:dyDescent="0.25">
      <c r="A14" t="s">
        <v>110</v>
      </c>
      <c r="B14" s="25">
        <v>46210</v>
      </c>
      <c r="C14" t="s">
        <v>111</v>
      </c>
      <c r="D14" t="s">
        <v>61</v>
      </c>
      <c r="E14">
        <v>29</v>
      </c>
      <c r="F14" t="s">
        <v>89</v>
      </c>
      <c r="G14" t="s">
        <v>90</v>
      </c>
      <c r="H14" t="s">
        <v>71</v>
      </c>
      <c r="I14" t="s">
        <v>112</v>
      </c>
      <c r="J14" t="s">
        <v>103</v>
      </c>
      <c r="K14">
        <v>9</v>
      </c>
      <c r="L14">
        <v>320</v>
      </c>
      <c r="M14">
        <v>0.2</v>
      </c>
      <c r="N14" t="s">
        <v>65</v>
      </c>
      <c r="O14" t="s">
        <v>56</v>
      </c>
      <c r="P14" s="25">
        <v>46214</v>
      </c>
      <c r="Q14">
        <v>2</v>
      </c>
      <c r="R14" t="s">
        <v>57</v>
      </c>
      <c r="S14" t="s">
        <v>66</v>
      </c>
      <c r="T14">
        <f>K14*L14</f>
        <v>2880</v>
      </c>
      <c r="U14">
        <f>T14*M14</f>
        <v>576</v>
      </c>
      <c r="V14">
        <f>T14-U14</f>
        <v>2304</v>
      </c>
    </row>
    <row r="15" spans="1:22" ht="20.100000000000001" customHeight="1" x14ac:dyDescent="0.25">
      <c r="A15" t="s">
        <v>113</v>
      </c>
      <c r="B15" s="25">
        <v>46102</v>
      </c>
      <c r="C15" t="s">
        <v>114</v>
      </c>
      <c r="D15" t="s">
        <v>49</v>
      </c>
      <c r="E15">
        <v>49</v>
      </c>
      <c r="F15" t="s">
        <v>115</v>
      </c>
      <c r="G15" t="s">
        <v>51</v>
      </c>
      <c r="H15" t="s">
        <v>71</v>
      </c>
      <c r="I15" t="s">
        <v>72</v>
      </c>
      <c r="J15" t="s">
        <v>103</v>
      </c>
      <c r="K15">
        <v>8</v>
      </c>
      <c r="L15">
        <v>150</v>
      </c>
      <c r="M15">
        <v>0</v>
      </c>
      <c r="N15" t="s">
        <v>74</v>
      </c>
      <c r="O15" t="s">
        <v>56</v>
      </c>
      <c r="P15" s="25">
        <v>46106</v>
      </c>
      <c r="Q15">
        <v>5</v>
      </c>
      <c r="R15" t="s">
        <v>57</v>
      </c>
      <c r="S15" t="s">
        <v>104</v>
      </c>
      <c r="T15">
        <f>K15*L15</f>
        <v>1200</v>
      </c>
      <c r="U15">
        <f>T15*M15</f>
        <v>0</v>
      </c>
      <c r="V15">
        <f>T15-U15</f>
        <v>1200</v>
      </c>
    </row>
    <row r="16" spans="1:22" ht="20.100000000000001" customHeight="1" x14ac:dyDescent="0.25">
      <c r="A16" t="s">
        <v>116</v>
      </c>
      <c r="B16" s="25">
        <v>46079</v>
      </c>
      <c r="C16" t="s">
        <v>111</v>
      </c>
      <c r="D16" t="s">
        <v>61</v>
      </c>
      <c r="E16">
        <v>35</v>
      </c>
      <c r="F16" t="s">
        <v>80</v>
      </c>
      <c r="G16" t="s">
        <v>51</v>
      </c>
      <c r="H16" t="s">
        <v>52</v>
      </c>
      <c r="I16" t="s">
        <v>109</v>
      </c>
      <c r="J16" t="s">
        <v>73</v>
      </c>
      <c r="K16">
        <v>17</v>
      </c>
      <c r="L16">
        <v>650</v>
      </c>
      <c r="M16">
        <v>0.05</v>
      </c>
      <c r="N16" t="s">
        <v>74</v>
      </c>
      <c r="O16" t="s">
        <v>56</v>
      </c>
      <c r="P16" s="25">
        <v>46080</v>
      </c>
      <c r="R16" t="s">
        <v>57</v>
      </c>
      <c r="S16" t="s">
        <v>66</v>
      </c>
      <c r="T16">
        <f>K16*L16</f>
        <v>11050</v>
      </c>
      <c r="U16">
        <f>T16*M16</f>
        <v>552.5</v>
      </c>
      <c r="V16">
        <f>T16-U16</f>
        <v>10497.5</v>
      </c>
    </row>
    <row r="17" spans="1:22" ht="20.100000000000001" customHeight="1" x14ac:dyDescent="0.25">
      <c r="A17" t="s">
        <v>117</v>
      </c>
      <c r="B17" s="25">
        <v>46262</v>
      </c>
      <c r="C17" t="s">
        <v>118</v>
      </c>
      <c r="D17" t="s">
        <v>49</v>
      </c>
      <c r="E17">
        <v>36</v>
      </c>
      <c r="F17" t="s">
        <v>69</v>
      </c>
      <c r="G17" t="s">
        <v>70</v>
      </c>
      <c r="H17" t="s">
        <v>71</v>
      </c>
      <c r="I17" t="s">
        <v>96</v>
      </c>
      <c r="J17" t="s">
        <v>103</v>
      </c>
      <c r="K17">
        <v>4</v>
      </c>
      <c r="L17">
        <v>450</v>
      </c>
      <c r="M17">
        <v>0</v>
      </c>
      <c r="N17" t="s">
        <v>92</v>
      </c>
      <c r="O17" t="s">
        <v>56</v>
      </c>
      <c r="P17" s="25">
        <v>46267</v>
      </c>
      <c r="Q17">
        <v>4</v>
      </c>
      <c r="R17" t="s">
        <v>76</v>
      </c>
      <c r="S17" t="s">
        <v>77</v>
      </c>
      <c r="T17">
        <f>K17*L17</f>
        <v>1800</v>
      </c>
      <c r="U17">
        <f>T17*M17</f>
        <v>0</v>
      </c>
      <c r="V17">
        <f>T17-U17</f>
        <v>1800</v>
      </c>
    </row>
    <row r="18" spans="1:22" ht="20.100000000000001" customHeight="1" x14ac:dyDescent="0.25">
      <c r="A18" t="s">
        <v>119</v>
      </c>
      <c r="B18" s="25">
        <v>46209</v>
      </c>
      <c r="C18" t="s">
        <v>114</v>
      </c>
      <c r="D18" t="s">
        <v>61</v>
      </c>
      <c r="E18">
        <v>24</v>
      </c>
      <c r="F18" t="s">
        <v>120</v>
      </c>
      <c r="G18" t="s">
        <v>51</v>
      </c>
      <c r="H18" t="s">
        <v>62</v>
      </c>
      <c r="I18" t="s">
        <v>81</v>
      </c>
      <c r="J18" t="s">
        <v>82</v>
      </c>
      <c r="K18">
        <v>4</v>
      </c>
      <c r="L18">
        <v>750</v>
      </c>
      <c r="M18">
        <v>0.05</v>
      </c>
      <c r="N18" t="s">
        <v>86</v>
      </c>
      <c r="O18" t="s">
        <v>56</v>
      </c>
      <c r="P18" s="25">
        <v>46210</v>
      </c>
      <c r="Q18">
        <v>4</v>
      </c>
      <c r="R18" t="s">
        <v>57</v>
      </c>
      <c r="S18" t="s">
        <v>121</v>
      </c>
      <c r="T18">
        <f>K18*L18</f>
        <v>3000</v>
      </c>
      <c r="U18">
        <f>T18*M18</f>
        <v>150</v>
      </c>
      <c r="V18">
        <f>T18-U18</f>
        <v>2850</v>
      </c>
    </row>
    <row r="19" spans="1:22" ht="20.100000000000001" customHeight="1" x14ac:dyDescent="0.25">
      <c r="A19" t="s">
        <v>122</v>
      </c>
      <c r="B19" s="25">
        <v>46069</v>
      </c>
      <c r="C19" t="s">
        <v>79</v>
      </c>
      <c r="D19" t="s">
        <v>61</v>
      </c>
      <c r="E19">
        <v>25</v>
      </c>
      <c r="F19" t="s">
        <v>123</v>
      </c>
      <c r="G19" t="s">
        <v>51</v>
      </c>
      <c r="H19" t="s">
        <v>62</v>
      </c>
      <c r="I19" t="s">
        <v>124</v>
      </c>
      <c r="J19" t="s">
        <v>73</v>
      </c>
      <c r="K19">
        <v>21</v>
      </c>
      <c r="L19">
        <v>2200</v>
      </c>
      <c r="M19">
        <v>0.2</v>
      </c>
      <c r="N19" t="s">
        <v>55</v>
      </c>
      <c r="O19" t="s">
        <v>125</v>
      </c>
      <c r="P19" s="25">
        <v>46072</v>
      </c>
      <c r="Q19">
        <v>2</v>
      </c>
      <c r="R19" t="s">
        <v>57</v>
      </c>
      <c r="S19" t="s">
        <v>121</v>
      </c>
      <c r="T19">
        <f>K19*L19</f>
        <v>46200</v>
      </c>
      <c r="U19">
        <f>T19*M19</f>
        <v>9240</v>
      </c>
      <c r="V19">
        <f>T19-U19</f>
        <v>36960</v>
      </c>
    </row>
    <row r="20" spans="1:22" ht="20.100000000000001" customHeight="1" x14ac:dyDescent="0.25">
      <c r="A20" t="s">
        <v>126</v>
      </c>
      <c r="B20" s="25">
        <v>46147</v>
      </c>
      <c r="C20" t="s">
        <v>127</v>
      </c>
      <c r="D20" t="s">
        <v>49</v>
      </c>
      <c r="E20">
        <v>24</v>
      </c>
      <c r="F20" t="s">
        <v>128</v>
      </c>
      <c r="G20" t="s">
        <v>51</v>
      </c>
      <c r="H20" t="s">
        <v>71</v>
      </c>
      <c r="I20" t="s">
        <v>72</v>
      </c>
      <c r="J20" t="s">
        <v>64</v>
      </c>
      <c r="K20">
        <v>9</v>
      </c>
      <c r="L20">
        <v>150</v>
      </c>
      <c r="M20">
        <v>0.15</v>
      </c>
      <c r="N20" t="s">
        <v>74</v>
      </c>
      <c r="O20" t="s">
        <v>56</v>
      </c>
      <c r="P20" s="25">
        <v>46151</v>
      </c>
      <c r="Q20">
        <v>5</v>
      </c>
      <c r="R20" t="s">
        <v>76</v>
      </c>
      <c r="S20" t="s">
        <v>129</v>
      </c>
      <c r="T20">
        <f>K20*L20</f>
        <v>1350</v>
      </c>
      <c r="U20">
        <f>T20*M20</f>
        <v>202.5</v>
      </c>
      <c r="V20">
        <f>T20-U20</f>
        <v>1147.5</v>
      </c>
    </row>
    <row r="21" spans="1:22" ht="20.100000000000001" customHeight="1" x14ac:dyDescent="0.25">
      <c r="A21" t="s">
        <v>130</v>
      </c>
      <c r="B21" s="25">
        <v>46071</v>
      </c>
      <c r="C21" t="s">
        <v>127</v>
      </c>
      <c r="D21" t="s">
        <v>61</v>
      </c>
      <c r="E21">
        <v>58</v>
      </c>
      <c r="F21" t="s">
        <v>131</v>
      </c>
      <c r="G21" t="s">
        <v>132</v>
      </c>
      <c r="H21" t="s">
        <v>62</v>
      </c>
      <c r="I21" t="s">
        <v>124</v>
      </c>
      <c r="J21" t="s">
        <v>54</v>
      </c>
      <c r="K21">
        <v>11</v>
      </c>
      <c r="L21">
        <v>2200</v>
      </c>
      <c r="M21">
        <v>0</v>
      </c>
      <c r="N21" t="s">
        <v>55</v>
      </c>
      <c r="O21" t="s">
        <v>56</v>
      </c>
      <c r="P21" s="25">
        <v>46074</v>
      </c>
      <c r="Q21">
        <v>5</v>
      </c>
      <c r="R21" t="s">
        <v>57</v>
      </c>
      <c r="S21" t="s">
        <v>58</v>
      </c>
      <c r="T21">
        <f>K21*L21</f>
        <v>24200</v>
      </c>
      <c r="U21">
        <f>T21*M21</f>
        <v>0</v>
      </c>
      <c r="V21">
        <f>T21-U21</f>
        <v>24200</v>
      </c>
    </row>
    <row r="22" spans="1:22" ht="20.100000000000001" customHeight="1" x14ac:dyDescent="0.25">
      <c r="A22" t="s">
        <v>133</v>
      </c>
      <c r="B22" s="25">
        <v>46153</v>
      </c>
      <c r="C22" t="s">
        <v>134</v>
      </c>
      <c r="D22" t="s">
        <v>61</v>
      </c>
      <c r="E22">
        <v>59</v>
      </c>
      <c r="F22" t="s">
        <v>80</v>
      </c>
      <c r="G22" t="s">
        <v>51</v>
      </c>
      <c r="H22" t="s">
        <v>62</v>
      </c>
      <c r="I22" t="s">
        <v>135</v>
      </c>
      <c r="J22" t="s">
        <v>64</v>
      </c>
      <c r="K22">
        <v>4</v>
      </c>
      <c r="L22">
        <v>3500</v>
      </c>
      <c r="M22">
        <v>0.2</v>
      </c>
      <c r="N22" t="s">
        <v>86</v>
      </c>
      <c r="O22" t="s">
        <v>56</v>
      </c>
      <c r="P22" s="25">
        <v>46154</v>
      </c>
      <c r="Q22">
        <v>1</v>
      </c>
      <c r="R22" t="s">
        <v>57</v>
      </c>
      <c r="S22" t="s">
        <v>121</v>
      </c>
      <c r="T22">
        <f>K22*L22</f>
        <v>14000</v>
      </c>
      <c r="U22">
        <f>T22*M22</f>
        <v>2800</v>
      </c>
      <c r="V22">
        <f>T22-U22</f>
        <v>11200</v>
      </c>
    </row>
    <row r="23" spans="1:22" ht="20.100000000000001" customHeight="1" x14ac:dyDescent="0.25">
      <c r="A23" t="s">
        <v>136</v>
      </c>
      <c r="B23" s="25">
        <v>46191</v>
      </c>
      <c r="C23" t="s">
        <v>118</v>
      </c>
      <c r="D23" t="s">
        <v>49</v>
      </c>
      <c r="E23">
        <v>37</v>
      </c>
      <c r="F23" t="s">
        <v>50</v>
      </c>
      <c r="G23" t="s">
        <v>51</v>
      </c>
      <c r="H23" t="s">
        <v>62</v>
      </c>
      <c r="I23" t="s">
        <v>81</v>
      </c>
      <c r="J23" t="s">
        <v>103</v>
      </c>
      <c r="K23">
        <v>9</v>
      </c>
      <c r="L23">
        <v>750</v>
      </c>
      <c r="M23">
        <v>0.15</v>
      </c>
      <c r="N23" t="s">
        <v>86</v>
      </c>
      <c r="O23" t="s">
        <v>56</v>
      </c>
      <c r="P23" s="25">
        <v>46196</v>
      </c>
      <c r="Q23">
        <v>3</v>
      </c>
      <c r="R23" t="s">
        <v>76</v>
      </c>
      <c r="S23" t="s">
        <v>101</v>
      </c>
      <c r="T23">
        <f>K23*L23</f>
        <v>6750</v>
      </c>
      <c r="U23">
        <f>T23*M23</f>
        <v>1012.5</v>
      </c>
      <c r="V23">
        <f>T23-U23</f>
        <v>5737.5</v>
      </c>
    </row>
    <row r="24" spans="1:22" ht="20.100000000000001" customHeight="1" x14ac:dyDescent="0.25">
      <c r="A24" t="s">
        <v>137</v>
      </c>
      <c r="B24" s="25">
        <v>46260</v>
      </c>
      <c r="C24" t="s">
        <v>111</v>
      </c>
      <c r="D24" t="s">
        <v>61</v>
      </c>
      <c r="E24">
        <v>50</v>
      </c>
      <c r="F24" t="s">
        <v>138</v>
      </c>
      <c r="G24" t="s">
        <v>138</v>
      </c>
      <c r="H24" t="s">
        <v>62</v>
      </c>
      <c r="I24" t="s">
        <v>124</v>
      </c>
      <c r="J24" t="s">
        <v>73</v>
      </c>
      <c r="K24">
        <v>18</v>
      </c>
      <c r="L24">
        <v>2200</v>
      </c>
      <c r="M24">
        <v>0.05</v>
      </c>
      <c r="N24" t="s">
        <v>65</v>
      </c>
      <c r="O24" t="s">
        <v>56</v>
      </c>
      <c r="P24" s="25">
        <v>46267</v>
      </c>
      <c r="Q24">
        <v>3</v>
      </c>
      <c r="R24" t="s">
        <v>57</v>
      </c>
      <c r="S24" t="s">
        <v>129</v>
      </c>
      <c r="T24">
        <f>K24*L24</f>
        <v>39600</v>
      </c>
      <c r="U24">
        <f>T24*M24</f>
        <v>1980</v>
      </c>
      <c r="V24">
        <f>T24-U24</f>
        <v>37620</v>
      </c>
    </row>
    <row r="25" spans="1:22" ht="20.100000000000001" customHeight="1" x14ac:dyDescent="0.25">
      <c r="A25" t="s">
        <v>139</v>
      </c>
      <c r="B25" s="25">
        <v>46117</v>
      </c>
      <c r="C25" t="s">
        <v>134</v>
      </c>
      <c r="D25" t="s">
        <v>49</v>
      </c>
      <c r="E25">
        <v>55</v>
      </c>
      <c r="F25" t="s">
        <v>131</v>
      </c>
      <c r="G25" t="s">
        <v>132</v>
      </c>
      <c r="H25" t="s">
        <v>71</v>
      </c>
      <c r="I25" t="s">
        <v>112</v>
      </c>
      <c r="J25" t="s">
        <v>82</v>
      </c>
      <c r="K25">
        <v>21</v>
      </c>
      <c r="L25">
        <v>320</v>
      </c>
      <c r="M25">
        <v>0.2</v>
      </c>
      <c r="N25" t="s">
        <v>55</v>
      </c>
      <c r="O25" t="s">
        <v>56</v>
      </c>
      <c r="P25" s="25">
        <v>46120</v>
      </c>
      <c r="Q25">
        <v>5</v>
      </c>
      <c r="R25" t="s">
        <v>76</v>
      </c>
      <c r="S25" t="s">
        <v>66</v>
      </c>
      <c r="T25">
        <f>K25*L25</f>
        <v>6720</v>
      </c>
      <c r="U25">
        <f>T25*M25</f>
        <v>1344</v>
      </c>
      <c r="V25">
        <f>T25-U25</f>
        <v>5376</v>
      </c>
    </row>
    <row r="26" spans="1:22" ht="20.100000000000001" customHeight="1" x14ac:dyDescent="0.25">
      <c r="A26" t="s">
        <v>139</v>
      </c>
      <c r="B26" s="25">
        <v>46049</v>
      </c>
      <c r="C26" t="s">
        <v>68</v>
      </c>
      <c r="D26" t="s">
        <v>61</v>
      </c>
      <c r="E26">
        <v>27</v>
      </c>
      <c r="F26" t="s">
        <v>131</v>
      </c>
      <c r="G26" t="s">
        <v>132</v>
      </c>
      <c r="H26" t="s">
        <v>62</v>
      </c>
      <c r="I26" t="s">
        <v>135</v>
      </c>
      <c r="J26" t="s">
        <v>97</v>
      </c>
      <c r="K26">
        <v>10</v>
      </c>
      <c r="L26">
        <v>3500</v>
      </c>
      <c r="M26">
        <v>0.2</v>
      </c>
      <c r="N26" t="s">
        <v>86</v>
      </c>
      <c r="O26" t="s">
        <v>75</v>
      </c>
      <c r="P26" s="25">
        <v>46051</v>
      </c>
      <c r="Q26">
        <v>2</v>
      </c>
      <c r="R26" t="s">
        <v>76</v>
      </c>
      <c r="S26" t="s">
        <v>104</v>
      </c>
      <c r="T26">
        <f>K26*L26</f>
        <v>35000</v>
      </c>
      <c r="U26">
        <f>T26*M26</f>
        <v>7000</v>
      </c>
      <c r="V26">
        <f>T26-U26</f>
        <v>28000</v>
      </c>
    </row>
    <row r="27" spans="1:22" ht="20.100000000000001" customHeight="1" x14ac:dyDescent="0.25">
      <c r="A27" t="s">
        <v>140</v>
      </c>
      <c r="B27" s="25">
        <v>46148</v>
      </c>
      <c r="C27" t="s">
        <v>141</v>
      </c>
      <c r="D27" t="s">
        <v>61</v>
      </c>
      <c r="E27">
        <v>61</v>
      </c>
      <c r="F27" t="s">
        <v>120</v>
      </c>
      <c r="G27" t="s">
        <v>51</v>
      </c>
      <c r="H27" t="s">
        <v>71</v>
      </c>
      <c r="I27" t="s">
        <v>72</v>
      </c>
      <c r="J27" t="s">
        <v>73</v>
      </c>
      <c r="K27">
        <v>11</v>
      </c>
      <c r="L27">
        <v>150</v>
      </c>
      <c r="M27">
        <v>0.05</v>
      </c>
      <c r="N27" t="s">
        <v>74</v>
      </c>
      <c r="O27" t="s">
        <v>56</v>
      </c>
      <c r="P27" s="25">
        <v>46151</v>
      </c>
      <c r="Q27">
        <v>4</v>
      </c>
      <c r="R27" t="s">
        <v>76</v>
      </c>
      <c r="S27" t="s">
        <v>104</v>
      </c>
      <c r="T27">
        <f>K27*L27</f>
        <v>1650</v>
      </c>
      <c r="U27">
        <f>T27*M27</f>
        <v>82.5</v>
      </c>
      <c r="V27">
        <f>T27-U27</f>
        <v>1567.5</v>
      </c>
    </row>
    <row r="28" spans="1:22" ht="20.100000000000001" customHeight="1" x14ac:dyDescent="0.25">
      <c r="A28" t="s">
        <v>142</v>
      </c>
      <c r="B28" s="25">
        <v>46025</v>
      </c>
      <c r="C28" t="s">
        <v>111</v>
      </c>
      <c r="D28" t="s">
        <v>61</v>
      </c>
      <c r="E28">
        <v>55</v>
      </c>
      <c r="F28" t="s">
        <v>95</v>
      </c>
      <c r="G28" t="s">
        <v>51</v>
      </c>
      <c r="H28" t="s">
        <v>71</v>
      </c>
      <c r="I28" t="s">
        <v>112</v>
      </c>
      <c r="J28" t="s">
        <v>143</v>
      </c>
      <c r="K28">
        <v>5</v>
      </c>
      <c r="L28">
        <v>320</v>
      </c>
      <c r="M28">
        <v>0.15</v>
      </c>
      <c r="N28" t="s">
        <v>86</v>
      </c>
      <c r="O28" t="s">
        <v>56</v>
      </c>
      <c r="P28" s="25">
        <v>46026</v>
      </c>
      <c r="Q28">
        <v>3</v>
      </c>
      <c r="R28" t="s">
        <v>57</v>
      </c>
      <c r="S28" t="s">
        <v>101</v>
      </c>
      <c r="T28">
        <f>K28*L28</f>
        <v>1600</v>
      </c>
      <c r="U28">
        <f>T28*M28</f>
        <v>240</v>
      </c>
      <c r="V28">
        <f>T28-U28</f>
        <v>1360</v>
      </c>
    </row>
    <row r="29" spans="1:22" ht="20.100000000000001" customHeight="1" x14ac:dyDescent="0.25">
      <c r="A29" t="s">
        <v>144</v>
      </c>
      <c r="B29" s="25">
        <v>46076</v>
      </c>
      <c r="C29" t="s">
        <v>145</v>
      </c>
      <c r="D29" t="s">
        <v>61</v>
      </c>
      <c r="E29">
        <v>43</v>
      </c>
      <c r="F29" t="s">
        <v>69</v>
      </c>
      <c r="G29" t="s">
        <v>70</v>
      </c>
      <c r="H29" t="s">
        <v>62</v>
      </c>
      <c r="I29" t="s">
        <v>146</v>
      </c>
      <c r="J29" t="s">
        <v>143</v>
      </c>
      <c r="K29">
        <v>24</v>
      </c>
      <c r="L29">
        <v>1800</v>
      </c>
      <c r="M29">
        <v>0.05</v>
      </c>
      <c r="N29" t="s">
        <v>86</v>
      </c>
      <c r="O29" t="s">
        <v>75</v>
      </c>
      <c r="P29" s="25">
        <v>46082</v>
      </c>
      <c r="Q29">
        <v>2</v>
      </c>
      <c r="R29" t="s">
        <v>76</v>
      </c>
      <c r="S29" t="s">
        <v>58</v>
      </c>
      <c r="T29">
        <f>K29*L29</f>
        <v>43200</v>
      </c>
      <c r="U29">
        <f>T29*M29</f>
        <v>2160</v>
      </c>
      <c r="V29">
        <f>T29-U29</f>
        <v>41040</v>
      </c>
    </row>
    <row r="30" spans="1:22" ht="20.100000000000001" customHeight="1" x14ac:dyDescent="0.25">
      <c r="A30" t="s">
        <v>147</v>
      </c>
      <c r="B30" s="25">
        <v>46068</v>
      </c>
      <c r="C30" t="s">
        <v>148</v>
      </c>
      <c r="D30" t="s">
        <v>49</v>
      </c>
      <c r="E30">
        <v>36</v>
      </c>
      <c r="F30" t="s">
        <v>99</v>
      </c>
      <c r="G30" t="s">
        <v>51</v>
      </c>
      <c r="H30" t="s">
        <v>52</v>
      </c>
      <c r="I30" t="s">
        <v>53</v>
      </c>
      <c r="J30" t="s">
        <v>64</v>
      </c>
      <c r="K30">
        <v>2</v>
      </c>
      <c r="L30">
        <v>55000</v>
      </c>
      <c r="M30">
        <v>0.15</v>
      </c>
      <c r="N30" t="s">
        <v>86</v>
      </c>
      <c r="O30" t="s">
        <v>56</v>
      </c>
      <c r="P30" s="25">
        <v>46074</v>
      </c>
      <c r="Q30">
        <v>4</v>
      </c>
      <c r="R30" t="s">
        <v>76</v>
      </c>
      <c r="S30" t="s">
        <v>101</v>
      </c>
      <c r="T30">
        <f>K30*L30</f>
        <v>110000</v>
      </c>
      <c r="U30">
        <f>T30*M30</f>
        <v>16500</v>
      </c>
      <c r="V30">
        <f>T30-U30</f>
        <v>93500</v>
      </c>
    </row>
    <row r="31" spans="1:22" ht="20.100000000000001" customHeight="1" x14ac:dyDescent="0.25">
      <c r="A31" t="s">
        <v>149</v>
      </c>
      <c r="B31" s="25">
        <v>46233</v>
      </c>
      <c r="C31" t="s">
        <v>145</v>
      </c>
      <c r="D31" t="s">
        <v>61</v>
      </c>
      <c r="E31">
        <v>22</v>
      </c>
      <c r="F31" t="s">
        <v>89</v>
      </c>
      <c r="G31" t="s">
        <v>90</v>
      </c>
      <c r="H31" t="s">
        <v>52</v>
      </c>
      <c r="I31" t="s">
        <v>150</v>
      </c>
      <c r="J31" t="s">
        <v>97</v>
      </c>
      <c r="K31">
        <v>9</v>
      </c>
      <c r="L31">
        <v>14500</v>
      </c>
      <c r="M31">
        <v>0</v>
      </c>
      <c r="N31" t="s">
        <v>74</v>
      </c>
      <c r="O31" t="s">
        <v>56</v>
      </c>
      <c r="P31" s="25">
        <v>46240</v>
      </c>
      <c r="Q31">
        <v>5</v>
      </c>
      <c r="R31" t="s">
        <v>76</v>
      </c>
      <c r="S31" t="s">
        <v>66</v>
      </c>
      <c r="T31">
        <f>K31*L31</f>
        <v>130500</v>
      </c>
      <c r="U31">
        <f>T31*M31</f>
        <v>0</v>
      </c>
      <c r="V31">
        <f>T31-U31</f>
        <v>130500</v>
      </c>
    </row>
    <row r="32" spans="1:22" ht="20.100000000000001" customHeight="1" x14ac:dyDescent="0.25">
      <c r="A32" t="s">
        <v>151</v>
      </c>
      <c r="B32" s="25">
        <v>46238</v>
      </c>
      <c r="C32" t="s">
        <v>148</v>
      </c>
      <c r="D32" t="s">
        <v>61</v>
      </c>
      <c r="E32">
        <v>28</v>
      </c>
      <c r="F32" t="s">
        <v>99</v>
      </c>
      <c r="G32" t="s">
        <v>51</v>
      </c>
      <c r="H32" t="s">
        <v>52</v>
      </c>
      <c r="I32" t="s">
        <v>91</v>
      </c>
      <c r="J32" t="s">
        <v>97</v>
      </c>
      <c r="K32">
        <v>2</v>
      </c>
      <c r="L32">
        <v>12500</v>
      </c>
      <c r="M32">
        <v>0</v>
      </c>
      <c r="N32" t="s">
        <v>65</v>
      </c>
      <c r="O32" t="s">
        <v>56</v>
      </c>
      <c r="P32" s="25">
        <v>46243</v>
      </c>
      <c r="Q32">
        <v>3</v>
      </c>
      <c r="R32" t="s">
        <v>76</v>
      </c>
      <c r="S32" t="s">
        <v>104</v>
      </c>
      <c r="T32">
        <f>K32*L32</f>
        <v>25000</v>
      </c>
      <c r="U32">
        <f>T32*M32</f>
        <v>0</v>
      </c>
      <c r="V32">
        <f>T32-U32</f>
        <v>25000</v>
      </c>
    </row>
    <row r="33" spans="1:22" ht="20.100000000000001" customHeight="1" x14ac:dyDescent="0.25">
      <c r="A33" t="s">
        <v>152</v>
      </c>
      <c r="B33" s="25">
        <v>46153</v>
      </c>
      <c r="C33" t="s">
        <v>153</v>
      </c>
      <c r="D33" t="s">
        <v>61</v>
      </c>
      <c r="E33">
        <v>37</v>
      </c>
      <c r="F33" t="s">
        <v>95</v>
      </c>
      <c r="G33" t="s">
        <v>51</v>
      </c>
      <c r="H33" t="s">
        <v>62</v>
      </c>
      <c r="I33" t="s">
        <v>146</v>
      </c>
      <c r="J33" t="s">
        <v>73</v>
      </c>
      <c r="K33">
        <v>17</v>
      </c>
      <c r="L33">
        <v>1800</v>
      </c>
      <c r="M33">
        <v>0.2</v>
      </c>
      <c r="N33" t="s">
        <v>86</v>
      </c>
      <c r="O33" t="s">
        <v>56</v>
      </c>
      <c r="P33" s="25">
        <v>46154</v>
      </c>
      <c r="Q33">
        <v>1</v>
      </c>
      <c r="R33" t="s">
        <v>76</v>
      </c>
      <c r="S33" t="s">
        <v>104</v>
      </c>
      <c r="T33">
        <f>K33*L33</f>
        <v>30600</v>
      </c>
      <c r="U33">
        <f>T33*M33</f>
        <v>6120</v>
      </c>
      <c r="V33">
        <f>T33-U33</f>
        <v>24480</v>
      </c>
    </row>
    <row r="34" spans="1:22" ht="20.100000000000001" customHeight="1" x14ac:dyDescent="0.25">
      <c r="A34" t="s">
        <v>154</v>
      </c>
      <c r="B34" s="25">
        <v>46103</v>
      </c>
      <c r="C34" t="s">
        <v>155</v>
      </c>
      <c r="D34" t="s">
        <v>49</v>
      </c>
      <c r="E34">
        <v>53</v>
      </c>
      <c r="F34" t="s">
        <v>99</v>
      </c>
      <c r="G34" t="s">
        <v>51</v>
      </c>
      <c r="H34" t="s">
        <v>62</v>
      </c>
      <c r="I34" t="s">
        <v>146</v>
      </c>
      <c r="J34" t="s">
        <v>97</v>
      </c>
      <c r="K34">
        <v>13</v>
      </c>
      <c r="L34">
        <v>1800</v>
      </c>
      <c r="M34">
        <v>0.25</v>
      </c>
      <c r="N34" t="s">
        <v>74</v>
      </c>
      <c r="O34" t="s">
        <v>56</v>
      </c>
      <c r="P34" s="25">
        <v>46109</v>
      </c>
      <c r="Q34">
        <v>2</v>
      </c>
      <c r="R34" t="s">
        <v>76</v>
      </c>
      <c r="S34" t="s">
        <v>66</v>
      </c>
      <c r="T34">
        <f>K34*L34</f>
        <v>23400</v>
      </c>
      <c r="U34">
        <f>T34*M34</f>
        <v>5850</v>
      </c>
      <c r="V34">
        <f>T34-U34</f>
        <v>17550</v>
      </c>
    </row>
    <row r="35" spans="1:22" ht="20.100000000000001" customHeight="1" x14ac:dyDescent="0.25">
      <c r="A35" t="s">
        <v>156</v>
      </c>
      <c r="B35" s="25">
        <v>46263</v>
      </c>
      <c r="C35" t="s">
        <v>114</v>
      </c>
      <c r="D35" t="s">
        <v>61</v>
      </c>
      <c r="E35">
        <v>60</v>
      </c>
      <c r="F35" t="s">
        <v>138</v>
      </c>
      <c r="G35" t="s">
        <v>138</v>
      </c>
      <c r="H35" t="s">
        <v>71</v>
      </c>
      <c r="I35" t="s">
        <v>96</v>
      </c>
      <c r="J35" t="s">
        <v>143</v>
      </c>
      <c r="K35">
        <v>1</v>
      </c>
      <c r="L35">
        <v>450</v>
      </c>
      <c r="M35">
        <v>0.1</v>
      </c>
      <c r="N35" t="s">
        <v>74</v>
      </c>
      <c r="O35" t="s">
        <v>56</v>
      </c>
      <c r="P35" s="25">
        <v>46267</v>
      </c>
      <c r="Q35">
        <v>5</v>
      </c>
      <c r="R35" t="s">
        <v>76</v>
      </c>
      <c r="S35" t="s">
        <v>121</v>
      </c>
      <c r="T35">
        <f>K35*L35</f>
        <v>450</v>
      </c>
      <c r="U35">
        <f>T35*M35</f>
        <v>45</v>
      </c>
      <c r="V35">
        <f>T35-U35</f>
        <v>405</v>
      </c>
    </row>
    <row r="36" spans="1:22" ht="20.100000000000001" customHeight="1" x14ac:dyDescent="0.25">
      <c r="A36" t="s">
        <v>157</v>
      </c>
      <c r="B36" s="25">
        <v>46136</v>
      </c>
      <c r="C36" t="s">
        <v>114</v>
      </c>
      <c r="D36" t="s">
        <v>61</v>
      </c>
      <c r="E36">
        <v>53</v>
      </c>
      <c r="F36" t="s">
        <v>123</v>
      </c>
      <c r="G36" t="s">
        <v>51</v>
      </c>
      <c r="H36" t="s">
        <v>62</v>
      </c>
      <c r="I36" t="s">
        <v>135</v>
      </c>
      <c r="J36" t="s">
        <v>54</v>
      </c>
      <c r="K36">
        <v>3</v>
      </c>
      <c r="L36">
        <v>3500</v>
      </c>
      <c r="M36">
        <v>0.1</v>
      </c>
      <c r="N36" t="s">
        <v>65</v>
      </c>
      <c r="O36" t="s">
        <v>56</v>
      </c>
      <c r="P36" s="25">
        <v>46140</v>
      </c>
      <c r="Q36">
        <v>5</v>
      </c>
      <c r="R36" t="s">
        <v>76</v>
      </c>
      <c r="S36" t="s">
        <v>58</v>
      </c>
      <c r="T36">
        <f>K36*L36</f>
        <v>10500</v>
      </c>
      <c r="U36">
        <f>T36*M36</f>
        <v>1050</v>
      </c>
      <c r="V36">
        <f>T36-U36</f>
        <v>9450</v>
      </c>
    </row>
    <row r="37" spans="1:22" ht="20.100000000000001" customHeight="1" x14ac:dyDescent="0.25">
      <c r="A37" t="s">
        <v>158</v>
      </c>
      <c r="B37" s="25">
        <v>46232</v>
      </c>
      <c r="C37" t="s">
        <v>145</v>
      </c>
      <c r="D37" t="s">
        <v>49</v>
      </c>
      <c r="E37">
        <v>35</v>
      </c>
      <c r="F37" t="s">
        <v>69</v>
      </c>
      <c r="G37" t="s">
        <v>70</v>
      </c>
      <c r="H37" t="s">
        <v>52</v>
      </c>
      <c r="I37" t="s">
        <v>100</v>
      </c>
      <c r="J37" t="s">
        <v>73</v>
      </c>
      <c r="K37">
        <v>2</v>
      </c>
      <c r="L37">
        <v>1200</v>
      </c>
      <c r="M37">
        <v>0.05</v>
      </c>
      <c r="N37" t="s">
        <v>92</v>
      </c>
      <c r="O37" t="s">
        <v>56</v>
      </c>
      <c r="P37" s="25">
        <v>46239</v>
      </c>
      <c r="Q37">
        <v>1</v>
      </c>
      <c r="R37" t="s">
        <v>76</v>
      </c>
      <c r="S37" t="s">
        <v>121</v>
      </c>
      <c r="T37">
        <f>K37*L37</f>
        <v>2400</v>
      </c>
      <c r="U37">
        <f>T37*M37</f>
        <v>120</v>
      </c>
      <c r="V37">
        <f>T37-U37</f>
        <v>2280</v>
      </c>
    </row>
    <row r="38" spans="1:22" ht="20.100000000000001" customHeight="1" x14ac:dyDescent="0.25">
      <c r="A38" t="s">
        <v>159</v>
      </c>
      <c r="B38" s="25">
        <v>46249</v>
      </c>
      <c r="C38" t="s">
        <v>118</v>
      </c>
      <c r="D38" t="s">
        <v>61</v>
      </c>
      <c r="E38">
        <v>45</v>
      </c>
      <c r="F38" t="s">
        <v>123</v>
      </c>
      <c r="G38" t="s">
        <v>51</v>
      </c>
      <c r="H38" t="s">
        <v>71</v>
      </c>
      <c r="I38" t="s">
        <v>160</v>
      </c>
      <c r="J38" t="s">
        <v>103</v>
      </c>
      <c r="K38">
        <v>21</v>
      </c>
      <c r="L38">
        <v>45</v>
      </c>
      <c r="M38">
        <v>0.25</v>
      </c>
      <c r="N38" t="s">
        <v>55</v>
      </c>
      <c r="O38" t="s">
        <v>75</v>
      </c>
      <c r="P38" s="25">
        <v>46255</v>
      </c>
      <c r="Q38">
        <v>1</v>
      </c>
      <c r="R38" t="s">
        <v>76</v>
      </c>
      <c r="S38" t="s">
        <v>129</v>
      </c>
      <c r="T38">
        <f>K38*L38</f>
        <v>945</v>
      </c>
      <c r="U38">
        <f>T38*M38</f>
        <v>236.25</v>
      </c>
      <c r="V38">
        <f>T38-U38</f>
        <v>708.75</v>
      </c>
    </row>
    <row r="39" spans="1:22" ht="20.100000000000001" customHeight="1" x14ac:dyDescent="0.25">
      <c r="A39" t="s">
        <v>161</v>
      </c>
      <c r="B39" s="25">
        <v>46068</v>
      </c>
      <c r="C39" t="s">
        <v>162</v>
      </c>
      <c r="D39" t="s">
        <v>49</v>
      </c>
      <c r="E39">
        <v>24</v>
      </c>
      <c r="F39" t="s">
        <v>115</v>
      </c>
      <c r="G39" t="s">
        <v>51</v>
      </c>
      <c r="H39" t="s">
        <v>52</v>
      </c>
      <c r="I39" t="s">
        <v>53</v>
      </c>
      <c r="J39" t="s">
        <v>64</v>
      </c>
      <c r="K39">
        <v>5</v>
      </c>
      <c r="L39">
        <v>55000</v>
      </c>
      <c r="M39">
        <v>0.15</v>
      </c>
      <c r="N39" t="s">
        <v>65</v>
      </c>
      <c r="O39" t="s">
        <v>125</v>
      </c>
      <c r="P39" s="25">
        <v>46075</v>
      </c>
      <c r="Q39">
        <v>5</v>
      </c>
      <c r="R39" t="s">
        <v>76</v>
      </c>
      <c r="S39" t="s">
        <v>77</v>
      </c>
      <c r="T39">
        <f>K39*L39</f>
        <v>275000</v>
      </c>
      <c r="U39">
        <f>T39*M39</f>
        <v>41250</v>
      </c>
      <c r="V39">
        <f>T39-U39</f>
        <v>233750</v>
      </c>
    </row>
    <row r="40" spans="1:22" ht="20.100000000000001" customHeight="1" x14ac:dyDescent="0.25">
      <c r="A40" t="s">
        <v>163</v>
      </c>
      <c r="B40" s="25">
        <v>46251</v>
      </c>
      <c r="C40" t="s">
        <v>164</v>
      </c>
      <c r="D40" t="s">
        <v>49</v>
      </c>
      <c r="E40">
        <v>56</v>
      </c>
      <c r="F40" t="s">
        <v>123</v>
      </c>
      <c r="G40" t="s">
        <v>51</v>
      </c>
      <c r="H40" t="s">
        <v>52</v>
      </c>
      <c r="I40" t="s">
        <v>150</v>
      </c>
      <c r="J40" t="s">
        <v>64</v>
      </c>
      <c r="K40">
        <v>9</v>
      </c>
      <c r="L40">
        <v>14500</v>
      </c>
      <c r="M40">
        <v>0.05</v>
      </c>
      <c r="N40" t="s">
        <v>74</v>
      </c>
      <c r="O40" t="s">
        <v>75</v>
      </c>
      <c r="P40" s="25">
        <v>46255</v>
      </c>
      <c r="Q40">
        <v>5</v>
      </c>
      <c r="R40" t="s">
        <v>76</v>
      </c>
      <c r="S40" t="s">
        <v>66</v>
      </c>
      <c r="T40">
        <f>K40*L40</f>
        <v>130500</v>
      </c>
      <c r="U40">
        <f>T40*M40</f>
        <v>6525</v>
      </c>
      <c r="V40">
        <f>T40-U40</f>
        <v>123975</v>
      </c>
    </row>
    <row r="41" spans="1:22" ht="20.100000000000001" customHeight="1" x14ac:dyDescent="0.25">
      <c r="A41" t="s">
        <v>165</v>
      </c>
      <c r="B41" s="25">
        <v>46084</v>
      </c>
      <c r="C41" t="s">
        <v>79</v>
      </c>
      <c r="D41" t="s">
        <v>61</v>
      </c>
      <c r="E41">
        <v>39</v>
      </c>
      <c r="F41" t="s">
        <v>50</v>
      </c>
      <c r="G41" t="s">
        <v>51</v>
      </c>
      <c r="H41" t="s">
        <v>71</v>
      </c>
      <c r="I41" t="s">
        <v>85</v>
      </c>
      <c r="J41" t="s">
        <v>97</v>
      </c>
      <c r="K41">
        <v>18</v>
      </c>
      <c r="L41">
        <v>85</v>
      </c>
      <c r="M41">
        <v>0</v>
      </c>
      <c r="N41" t="s">
        <v>86</v>
      </c>
      <c r="O41" t="s">
        <v>56</v>
      </c>
      <c r="P41" s="25">
        <v>46087</v>
      </c>
      <c r="Q41">
        <v>4</v>
      </c>
      <c r="R41" t="s">
        <v>57</v>
      </c>
      <c r="S41" t="s">
        <v>66</v>
      </c>
      <c r="T41">
        <f>K41*L41</f>
        <v>1530</v>
      </c>
      <c r="U41">
        <f>T41*M41</f>
        <v>0</v>
      </c>
      <c r="V41">
        <f>T41-U41</f>
        <v>1530</v>
      </c>
    </row>
    <row r="42" spans="1:22" ht="20.100000000000001" customHeight="1" x14ac:dyDescent="0.25">
      <c r="A42" t="s">
        <v>166</v>
      </c>
      <c r="B42" s="25">
        <v>46077</v>
      </c>
      <c r="C42" t="s">
        <v>167</v>
      </c>
      <c r="D42" t="s">
        <v>49</v>
      </c>
      <c r="E42">
        <v>42</v>
      </c>
      <c r="F42" t="s">
        <v>115</v>
      </c>
      <c r="G42" t="s">
        <v>51</v>
      </c>
      <c r="H42" t="s">
        <v>71</v>
      </c>
      <c r="I42" t="s">
        <v>96</v>
      </c>
      <c r="J42" t="s">
        <v>73</v>
      </c>
      <c r="K42">
        <v>7</v>
      </c>
      <c r="L42">
        <v>450</v>
      </c>
      <c r="M42">
        <v>0.15</v>
      </c>
      <c r="N42" t="s">
        <v>92</v>
      </c>
      <c r="O42" t="s">
        <v>125</v>
      </c>
      <c r="P42" s="25">
        <v>46078</v>
      </c>
      <c r="Q42">
        <v>5</v>
      </c>
      <c r="R42" t="s">
        <v>57</v>
      </c>
      <c r="S42" t="s">
        <v>77</v>
      </c>
      <c r="T42">
        <f>K42*L42</f>
        <v>3150</v>
      </c>
      <c r="U42">
        <f>T42*M42</f>
        <v>472.5</v>
      </c>
      <c r="V42">
        <f>T42-U42</f>
        <v>2677.5</v>
      </c>
    </row>
    <row r="43" spans="1:22" ht="20.100000000000001" customHeight="1" x14ac:dyDescent="0.25">
      <c r="A43" t="s">
        <v>168</v>
      </c>
      <c r="B43" s="25">
        <v>46248</v>
      </c>
      <c r="C43" t="s">
        <v>118</v>
      </c>
      <c r="D43" t="s">
        <v>49</v>
      </c>
      <c r="E43">
        <v>51</v>
      </c>
      <c r="F43" t="s">
        <v>95</v>
      </c>
      <c r="G43" t="s">
        <v>51</v>
      </c>
      <c r="H43" t="s">
        <v>71</v>
      </c>
      <c r="I43" t="s">
        <v>85</v>
      </c>
      <c r="J43" t="s">
        <v>82</v>
      </c>
      <c r="K43">
        <v>13</v>
      </c>
      <c r="L43">
        <v>85</v>
      </c>
      <c r="M43">
        <v>0.15</v>
      </c>
      <c r="N43" t="s">
        <v>65</v>
      </c>
      <c r="O43" t="s">
        <v>75</v>
      </c>
      <c r="P43" s="25">
        <v>46255</v>
      </c>
      <c r="Q43">
        <v>5</v>
      </c>
      <c r="R43" t="s">
        <v>57</v>
      </c>
      <c r="T43">
        <f>K43*L43</f>
        <v>1105</v>
      </c>
      <c r="U43">
        <f>T43*M43</f>
        <v>165.75</v>
      </c>
      <c r="V43">
        <f>T43-U43</f>
        <v>939.25</v>
      </c>
    </row>
    <row r="44" spans="1:22" ht="20.100000000000001" customHeight="1" x14ac:dyDescent="0.25">
      <c r="A44" t="s">
        <v>169</v>
      </c>
      <c r="B44" s="25">
        <v>46079</v>
      </c>
      <c r="C44" t="s">
        <v>167</v>
      </c>
      <c r="D44" t="s">
        <v>49</v>
      </c>
      <c r="E44">
        <v>22</v>
      </c>
      <c r="F44" t="s">
        <v>120</v>
      </c>
      <c r="G44" t="s">
        <v>51</v>
      </c>
      <c r="H44" t="s">
        <v>71</v>
      </c>
      <c r="I44" t="s">
        <v>96</v>
      </c>
      <c r="J44" t="s">
        <v>54</v>
      </c>
      <c r="K44">
        <v>6</v>
      </c>
      <c r="L44">
        <v>450</v>
      </c>
      <c r="M44">
        <v>0.15</v>
      </c>
      <c r="N44" t="s">
        <v>86</v>
      </c>
      <c r="O44" t="s">
        <v>125</v>
      </c>
      <c r="P44" s="25">
        <v>46082</v>
      </c>
      <c r="Q44">
        <v>5</v>
      </c>
      <c r="R44" t="s">
        <v>57</v>
      </c>
      <c r="S44" t="s">
        <v>121</v>
      </c>
      <c r="T44">
        <f>K44*L44</f>
        <v>2700</v>
      </c>
      <c r="U44">
        <f>T44*M44</f>
        <v>405</v>
      </c>
      <c r="V44">
        <f>T44-U44</f>
        <v>2295</v>
      </c>
    </row>
    <row r="45" spans="1:22" ht="20.100000000000001" customHeight="1" x14ac:dyDescent="0.25">
      <c r="A45" t="s">
        <v>170</v>
      </c>
      <c r="B45" s="25">
        <v>46174</v>
      </c>
      <c r="C45" t="s">
        <v>114</v>
      </c>
      <c r="D45" t="s">
        <v>61</v>
      </c>
      <c r="E45">
        <v>26</v>
      </c>
      <c r="F45" t="s">
        <v>89</v>
      </c>
      <c r="G45" t="s">
        <v>90</v>
      </c>
      <c r="H45" t="s">
        <v>71</v>
      </c>
      <c r="I45" t="s">
        <v>160</v>
      </c>
      <c r="J45" t="s">
        <v>82</v>
      </c>
      <c r="K45">
        <v>15</v>
      </c>
      <c r="L45">
        <v>45</v>
      </c>
      <c r="M45">
        <v>0.05</v>
      </c>
      <c r="N45" t="s">
        <v>55</v>
      </c>
      <c r="O45" t="s">
        <v>56</v>
      </c>
      <c r="P45" s="25">
        <v>46179</v>
      </c>
      <c r="Q45">
        <v>3</v>
      </c>
      <c r="R45" t="s">
        <v>57</v>
      </c>
      <c r="S45" t="s">
        <v>121</v>
      </c>
      <c r="T45">
        <f>K45*L45</f>
        <v>675</v>
      </c>
      <c r="U45">
        <f>T45*M45</f>
        <v>33.75</v>
      </c>
      <c r="V45">
        <f>T45-U45</f>
        <v>641.25</v>
      </c>
    </row>
    <row r="46" spans="1:22" ht="20.100000000000001" customHeight="1" x14ac:dyDescent="0.25">
      <c r="A46" t="s">
        <v>171</v>
      </c>
      <c r="B46" s="25">
        <v>46106</v>
      </c>
      <c r="C46" t="s">
        <v>94</v>
      </c>
      <c r="D46" t="s">
        <v>49</v>
      </c>
      <c r="E46">
        <v>38</v>
      </c>
      <c r="F46" t="s">
        <v>69</v>
      </c>
      <c r="G46" t="s">
        <v>70</v>
      </c>
      <c r="H46" t="s">
        <v>71</v>
      </c>
      <c r="I46" t="s">
        <v>85</v>
      </c>
      <c r="J46" t="s">
        <v>82</v>
      </c>
      <c r="K46">
        <v>3</v>
      </c>
      <c r="L46">
        <v>85</v>
      </c>
      <c r="M46">
        <v>0.15</v>
      </c>
      <c r="N46" t="s">
        <v>55</v>
      </c>
      <c r="O46" t="s">
        <v>75</v>
      </c>
      <c r="P46" s="25">
        <v>46109</v>
      </c>
      <c r="Q46">
        <v>1</v>
      </c>
      <c r="R46" t="s">
        <v>76</v>
      </c>
      <c r="S46" t="s">
        <v>129</v>
      </c>
      <c r="T46">
        <f>K46*L46</f>
        <v>255</v>
      </c>
      <c r="U46">
        <f>T46*M46</f>
        <v>38.25</v>
      </c>
      <c r="V46">
        <f>T46-U46</f>
        <v>216.75</v>
      </c>
    </row>
    <row r="47" spans="1:22" ht="20.100000000000001" customHeight="1" x14ac:dyDescent="0.25">
      <c r="A47" t="s">
        <v>172</v>
      </c>
      <c r="B47" s="25">
        <v>46189</v>
      </c>
      <c r="C47" t="s">
        <v>94</v>
      </c>
      <c r="D47" t="s">
        <v>61</v>
      </c>
      <c r="E47">
        <v>22</v>
      </c>
      <c r="F47" t="s">
        <v>50</v>
      </c>
      <c r="G47" t="s">
        <v>51</v>
      </c>
      <c r="H47" t="s">
        <v>52</v>
      </c>
      <c r="I47" t="s">
        <v>53</v>
      </c>
      <c r="J47" t="s">
        <v>143</v>
      </c>
      <c r="K47">
        <v>5</v>
      </c>
      <c r="L47">
        <v>55000</v>
      </c>
      <c r="M47">
        <v>0.05</v>
      </c>
      <c r="N47" t="s">
        <v>86</v>
      </c>
      <c r="O47" t="s">
        <v>56</v>
      </c>
      <c r="P47" s="25">
        <v>46190</v>
      </c>
      <c r="Q47">
        <v>1</v>
      </c>
      <c r="R47" t="s">
        <v>57</v>
      </c>
      <c r="S47" t="s">
        <v>121</v>
      </c>
      <c r="T47">
        <f>K47*L47</f>
        <v>275000</v>
      </c>
      <c r="U47">
        <f>T47*M47</f>
        <v>13750</v>
      </c>
      <c r="V47">
        <f>T47-U47</f>
        <v>261250</v>
      </c>
    </row>
    <row r="48" spans="1:22" ht="20.100000000000001" customHeight="1" x14ac:dyDescent="0.25">
      <c r="A48" t="s">
        <v>173</v>
      </c>
      <c r="B48" s="25">
        <v>46202</v>
      </c>
      <c r="C48" t="s">
        <v>94</v>
      </c>
      <c r="D48" t="s">
        <v>49</v>
      </c>
      <c r="E48">
        <v>31</v>
      </c>
      <c r="F48" t="s">
        <v>138</v>
      </c>
      <c r="G48" t="s">
        <v>138</v>
      </c>
      <c r="H48" t="s">
        <v>62</v>
      </c>
      <c r="I48" t="s">
        <v>124</v>
      </c>
      <c r="J48" t="s">
        <v>82</v>
      </c>
      <c r="K48">
        <v>6</v>
      </c>
      <c r="L48">
        <v>2200</v>
      </c>
      <c r="M48">
        <v>0.1</v>
      </c>
      <c r="N48" t="s">
        <v>55</v>
      </c>
      <c r="O48" t="s">
        <v>56</v>
      </c>
      <c r="P48" s="25">
        <v>46205</v>
      </c>
      <c r="Q48">
        <v>3</v>
      </c>
      <c r="R48" t="s">
        <v>76</v>
      </c>
      <c r="S48" t="s">
        <v>121</v>
      </c>
      <c r="T48">
        <f>K48*L48</f>
        <v>13200</v>
      </c>
      <c r="U48">
        <f>T48*M48</f>
        <v>1320</v>
      </c>
      <c r="V48">
        <f>T48-U48</f>
        <v>11880</v>
      </c>
    </row>
    <row r="49" spans="1:22" ht="20.100000000000001" customHeight="1" x14ac:dyDescent="0.25">
      <c r="A49" t="s">
        <v>174</v>
      </c>
      <c r="B49" s="25">
        <v>46206</v>
      </c>
      <c r="C49" t="s">
        <v>111</v>
      </c>
      <c r="D49" t="s">
        <v>61</v>
      </c>
      <c r="E49">
        <v>27</v>
      </c>
      <c r="F49" t="s">
        <v>131</v>
      </c>
      <c r="G49" t="s">
        <v>132</v>
      </c>
      <c r="H49" t="s">
        <v>71</v>
      </c>
      <c r="I49" t="s">
        <v>112</v>
      </c>
      <c r="J49" t="s">
        <v>82</v>
      </c>
      <c r="K49">
        <v>4</v>
      </c>
      <c r="L49">
        <v>320</v>
      </c>
      <c r="M49">
        <v>0.2</v>
      </c>
      <c r="N49" t="s">
        <v>55</v>
      </c>
      <c r="O49" t="s">
        <v>56</v>
      </c>
      <c r="P49" s="25">
        <v>46208</v>
      </c>
      <c r="Q49">
        <v>4</v>
      </c>
      <c r="R49" t="s">
        <v>76</v>
      </c>
      <c r="S49" t="s">
        <v>58</v>
      </c>
      <c r="T49">
        <f>K49*L49</f>
        <v>1280</v>
      </c>
      <c r="U49">
        <f>T49*M49</f>
        <v>256</v>
      </c>
      <c r="V49">
        <f>T49-U49</f>
        <v>1024</v>
      </c>
    </row>
    <row r="50" spans="1:22" ht="20.100000000000001" customHeight="1" x14ac:dyDescent="0.25">
      <c r="A50" t="s">
        <v>175</v>
      </c>
      <c r="B50" s="25">
        <v>46152</v>
      </c>
      <c r="C50" t="s">
        <v>148</v>
      </c>
      <c r="D50" t="s">
        <v>61</v>
      </c>
      <c r="E50">
        <v>47</v>
      </c>
      <c r="F50" t="s">
        <v>123</v>
      </c>
      <c r="G50" t="s">
        <v>51</v>
      </c>
      <c r="H50" t="s">
        <v>52</v>
      </c>
      <c r="I50" t="s">
        <v>150</v>
      </c>
      <c r="J50" t="s">
        <v>97</v>
      </c>
      <c r="K50">
        <v>21</v>
      </c>
      <c r="L50">
        <v>14500</v>
      </c>
      <c r="M50">
        <v>0.15</v>
      </c>
      <c r="N50" t="s">
        <v>86</v>
      </c>
      <c r="O50" t="s">
        <v>56</v>
      </c>
      <c r="P50" s="25">
        <v>46158</v>
      </c>
      <c r="Q50">
        <v>5</v>
      </c>
      <c r="R50" t="s">
        <v>76</v>
      </c>
      <c r="S50" t="s">
        <v>104</v>
      </c>
      <c r="T50">
        <f>K50*L50</f>
        <v>304500</v>
      </c>
      <c r="U50">
        <f>T50*M50</f>
        <v>45675</v>
      </c>
      <c r="V50">
        <f>T50-U50</f>
        <v>258825</v>
      </c>
    </row>
    <row r="51" spans="1:22" ht="20.100000000000001" customHeight="1" x14ac:dyDescent="0.25">
      <c r="A51" t="s">
        <v>176</v>
      </c>
      <c r="B51" s="25">
        <v>46229</v>
      </c>
      <c r="C51" t="s">
        <v>94</v>
      </c>
      <c r="D51" t="s">
        <v>49</v>
      </c>
      <c r="E51">
        <v>50</v>
      </c>
      <c r="F51" t="s">
        <v>120</v>
      </c>
      <c r="G51" t="s">
        <v>51</v>
      </c>
      <c r="H51" t="s">
        <v>62</v>
      </c>
      <c r="I51" t="s">
        <v>63</v>
      </c>
      <c r="J51" t="s">
        <v>97</v>
      </c>
      <c r="K51">
        <v>11</v>
      </c>
      <c r="L51">
        <v>250</v>
      </c>
      <c r="M51">
        <v>0.05</v>
      </c>
      <c r="N51" t="s">
        <v>55</v>
      </c>
      <c r="O51" t="s">
        <v>56</v>
      </c>
      <c r="P51" s="25">
        <v>46234</v>
      </c>
      <c r="Q51">
        <v>4</v>
      </c>
      <c r="R51" t="s">
        <v>57</v>
      </c>
      <c r="S51" t="s">
        <v>77</v>
      </c>
      <c r="T51">
        <f>K51*L51</f>
        <v>2750</v>
      </c>
      <c r="U51">
        <f>T51*M51</f>
        <v>137.5</v>
      </c>
      <c r="V51">
        <f>T51-U51</f>
        <v>2612.5</v>
      </c>
    </row>
    <row r="52" spans="1:22" ht="20.100000000000001" customHeight="1" x14ac:dyDescent="0.25">
      <c r="A52" t="s">
        <v>177</v>
      </c>
      <c r="B52" s="25">
        <v>46141</v>
      </c>
      <c r="C52" t="s">
        <v>164</v>
      </c>
      <c r="D52" t="s">
        <v>49</v>
      </c>
      <c r="E52">
        <v>42</v>
      </c>
      <c r="F52" t="s">
        <v>95</v>
      </c>
      <c r="G52" t="s">
        <v>51</v>
      </c>
      <c r="H52" t="s">
        <v>71</v>
      </c>
      <c r="I52" t="s">
        <v>85</v>
      </c>
      <c r="J52" t="s">
        <v>103</v>
      </c>
      <c r="K52">
        <v>16</v>
      </c>
      <c r="L52">
        <v>85</v>
      </c>
      <c r="M52">
        <v>0.05</v>
      </c>
      <c r="N52" t="s">
        <v>74</v>
      </c>
      <c r="O52" t="s">
        <v>75</v>
      </c>
      <c r="P52" s="25">
        <v>46146</v>
      </c>
      <c r="Q52">
        <v>3</v>
      </c>
      <c r="R52" t="s">
        <v>76</v>
      </c>
      <c r="S52" t="s">
        <v>104</v>
      </c>
      <c r="T52">
        <f>K52*L52</f>
        <v>1360</v>
      </c>
      <c r="U52">
        <f>T52*M52</f>
        <v>68</v>
      </c>
      <c r="V52">
        <f>T52-U52</f>
        <v>1292</v>
      </c>
    </row>
    <row r="53" spans="1:22" ht="20.100000000000001" customHeight="1" x14ac:dyDescent="0.25">
      <c r="A53" t="s">
        <v>178</v>
      </c>
      <c r="B53" s="25">
        <v>46202</v>
      </c>
      <c r="C53" t="s">
        <v>179</v>
      </c>
      <c r="D53" t="s">
        <v>61</v>
      </c>
      <c r="E53">
        <v>54</v>
      </c>
      <c r="F53" t="s">
        <v>50</v>
      </c>
      <c r="G53" t="s">
        <v>51</v>
      </c>
      <c r="H53" t="s">
        <v>52</v>
      </c>
      <c r="I53" t="s">
        <v>100</v>
      </c>
      <c r="J53" t="s">
        <v>54</v>
      </c>
      <c r="K53">
        <v>14</v>
      </c>
      <c r="L53">
        <v>1200</v>
      </c>
      <c r="M53">
        <v>0.15</v>
      </c>
      <c r="N53" t="s">
        <v>65</v>
      </c>
      <c r="O53" t="s">
        <v>75</v>
      </c>
      <c r="P53" s="25">
        <v>46205</v>
      </c>
      <c r="Q53">
        <v>4</v>
      </c>
      <c r="R53" t="s">
        <v>76</v>
      </c>
      <c r="S53" t="s">
        <v>121</v>
      </c>
      <c r="T53">
        <f>K53*L53</f>
        <v>16800</v>
      </c>
      <c r="U53">
        <f>T53*M53</f>
        <v>2520</v>
      </c>
      <c r="V53">
        <f>T53-U53</f>
        <v>14280</v>
      </c>
    </row>
    <row r="54" spans="1:22" ht="20.100000000000001" customHeight="1" x14ac:dyDescent="0.25">
      <c r="A54" t="s">
        <v>180</v>
      </c>
      <c r="B54" s="25">
        <v>46225</v>
      </c>
      <c r="C54" t="s">
        <v>111</v>
      </c>
      <c r="D54" t="s">
        <v>49</v>
      </c>
      <c r="E54">
        <v>35</v>
      </c>
      <c r="F54" t="s">
        <v>120</v>
      </c>
      <c r="G54" t="s">
        <v>51</v>
      </c>
      <c r="H54" t="s">
        <v>62</v>
      </c>
      <c r="I54" t="s">
        <v>135</v>
      </c>
      <c r="J54" t="s">
        <v>97</v>
      </c>
      <c r="K54">
        <v>22</v>
      </c>
      <c r="L54">
        <v>3500</v>
      </c>
      <c r="M54">
        <v>0.2</v>
      </c>
      <c r="N54" t="s">
        <v>74</v>
      </c>
      <c r="O54" t="s">
        <v>56</v>
      </c>
      <c r="P54" s="25">
        <v>46226</v>
      </c>
      <c r="Q54">
        <v>5</v>
      </c>
      <c r="R54" t="s">
        <v>76</v>
      </c>
      <c r="S54" t="s">
        <v>121</v>
      </c>
      <c r="T54">
        <f>K54*L54</f>
        <v>77000</v>
      </c>
      <c r="U54">
        <f>T54*M54</f>
        <v>15400</v>
      </c>
      <c r="V54">
        <f>T54-U54</f>
        <v>61600</v>
      </c>
    </row>
    <row r="55" spans="1:22" ht="20.100000000000001" customHeight="1" x14ac:dyDescent="0.25">
      <c r="A55" t="s">
        <v>181</v>
      </c>
      <c r="B55" s="25">
        <v>46213</v>
      </c>
      <c r="C55" t="s">
        <v>148</v>
      </c>
      <c r="D55" t="s">
        <v>49</v>
      </c>
      <c r="E55">
        <v>50</v>
      </c>
      <c r="F55" t="s">
        <v>99</v>
      </c>
      <c r="G55" t="s">
        <v>51</v>
      </c>
      <c r="H55" t="s">
        <v>71</v>
      </c>
      <c r="I55" t="s">
        <v>85</v>
      </c>
      <c r="J55" t="s">
        <v>103</v>
      </c>
      <c r="K55">
        <v>4</v>
      </c>
      <c r="L55">
        <v>85</v>
      </c>
      <c r="M55">
        <v>0.25</v>
      </c>
      <c r="N55" t="s">
        <v>86</v>
      </c>
      <c r="O55" t="s">
        <v>56</v>
      </c>
      <c r="P55" s="25">
        <v>46218</v>
      </c>
      <c r="Q55">
        <v>5</v>
      </c>
      <c r="R55" t="s">
        <v>57</v>
      </c>
      <c r="S55" t="s">
        <v>129</v>
      </c>
      <c r="T55">
        <f>K55*L55</f>
        <v>340</v>
      </c>
      <c r="U55">
        <f>T55*M55</f>
        <v>85</v>
      </c>
      <c r="V55">
        <f>T55-U55</f>
        <v>255</v>
      </c>
    </row>
    <row r="56" spans="1:22" ht="20.100000000000001" customHeight="1" x14ac:dyDescent="0.25">
      <c r="A56" t="s">
        <v>182</v>
      </c>
      <c r="B56" s="25">
        <v>46078</v>
      </c>
      <c r="C56" t="s">
        <v>183</v>
      </c>
      <c r="D56" t="s">
        <v>49</v>
      </c>
      <c r="E56">
        <v>58</v>
      </c>
      <c r="F56" t="s">
        <v>69</v>
      </c>
      <c r="G56" t="s">
        <v>70</v>
      </c>
      <c r="H56" t="s">
        <v>62</v>
      </c>
      <c r="I56" t="s">
        <v>63</v>
      </c>
      <c r="J56" t="s">
        <v>97</v>
      </c>
      <c r="K56">
        <v>4</v>
      </c>
      <c r="L56">
        <v>250</v>
      </c>
      <c r="M56">
        <v>0.05</v>
      </c>
      <c r="N56" t="s">
        <v>74</v>
      </c>
      <c r="O56" t="s">
        <v>56</v>
      </c>
      <c r="P56" s="25">
        <v>46084</v>
      </c>
      <c r="Q56">
        <v>2</v>
      </c>
      <c r="R56" t="s">
        <v>76</v>
      </c>
      <c r="S56" t="s">
        <v>58</v>
      </c>
      <c r="T56">
        <f>K56*L56</f>
        <v>1000</v>
      </c>
      <c r="U56">
        <f>T56*M56</f>
        <v>50</v>
      </c>
      <c r="V56">
        <f>T56-U56</f>
        <v>950</v>
      </c>
    </row>
    <row r="57" spans="1:22" ht="20.100000000000001" customHeight="1" x14ac:dyDescent="0.25">
      <c r="A57" t="s">
        <v>184</v>
      </c>
      <c r="B57" s="25">
        <v>46204</v>
      </c>
      <c r="C57" t="s">
        <v>185</v>
      </c>
      <c r="D57" t="s">
        <v>49</v>
      </c>
      <c r="E57">
        <v>23</v>
      </c>
      <c r="F57" t="s">
        <v>95</v>
      </c>
      <c r="G57" t="s">
        <v>51</v>
      </c>
      <c r="H57" t="s">
        <v>62</v>
      </c>
      <c r="I57" t="s">
        <v>81</v>
      </c>
      <c r="J57" t="s">
        <v>54</v>
      </c>
      <c r="K57">
        <v>5</v>
      </c>
      <c r="L57">
        <v>750</v>
      </c>
      <c r="M57">
        <v>0.25</v>
      </c>
      <c r="N57" t="s">
        <v>92</v>
      </c>
      <c r="O57" t="s">
        <v>56</v>
      </c>
      <c r="P57" s="25">
        <v>46209</v>
      </c>
      <c r="Q57">
        <v>1</v>
      </c>
      <c r="R57" t="s">
        <v>76</v>
      </c>
      <c r="S57" t="s">
        <v>121</v>
      </c>
      <c r="T57">
        <f>K57*L57</f>
        <v>3750</v>
      </c>
      <c r="U57">
        <f>T57*M57</f>
        <v>937.5</v>
      </c>
      <c r="V57">
        <f>T57-U57</f>
        <v>2812.5</v>
      </c>
    </row>
    <row r="58" spans="1:22" ht="20.100000000000001" customHeight="1" x14ac:dyDescent="0.25">
      <c r="A58" t="s">
        <v>186</v>
      </c>
      <c r="B58" s="25">
        <v>46145</v>
      </c>
      <c r="C58" t="s">
        <v>148</v>
      </c>
      <c r="D58" t="s">
        <v>61</v>
      </c>
      <c r="E58">
        <v>24</v>
      </c>
      <c r="F58" t="s">
        <v>99</v>
      </c>
      <c r="G58" t="s">
        <v>51</v>
      </c>
      <c r="H58" t="s">
        <v>71</v>
      </c>
      <c r="I58" t="s">
        <v>72</v>
      </c>
      <c r="J58" t="s">
        <v>82</v>
      </c>
      <c r="K58">
        <v>3</v>
      </c>
      <c r="L58">
        <v>150</v>
      </c>
      <c r="M58">
        <v>0.15</v>
      </c>
      <c r="N58" t="s">
        <v>92</v>
      </c>
      <c r="O58" t="s">
        <v>56</v>
      </c>
      <c r="P58" s="25">
        <v>46149</v>
      </c>
      <c r="Q58">
        <v>1</v>
      </c>
      <c r="R58" t="s">
        <v>57</v>
      </c>
      <c r="S58" t="s">
        <v>129</v>
      </c>
      <c r="T58">
        <f>K58*L58</f>
        <v>450</v>
      </c>
      <c r="U58">
        <f>T58*M58</f>
        <v>67.5</v>
      </c>
      <c r="V58">
        <f>T58-U58</f>
        <v>382.5</v>
      </c>
    </row>
    <row r="59" spans="1:22" ht="20.100000000000001" customHeight="1" x14ac:dyDescent="0.25">
      <c r="A59" t="s">
        <v>187</v>
      </c>
      <c r="B59" s="25">
        <v>46230</v>
      </c>
      <c r="C59" t="s">
        <v>84</v>
      </c>
      <c r="D59" t="s">
        <v>61</v>
      </c>
      <c r="E59">
        <v>36</v>
      </c>
      <c r="F59" t="s">
        <v>80</v>
      </c>
      <c r="G59" t="s">
        <v>51</v>
      </c>
      <c r="H59" t="s">
        <v>62</v>
      </c>
      <c r="I59" t="s">
        <v>146</v>
      </c>
      <c r="J59" t="s">
        <v>143</v>
      </c>
      <c r="K59">
        <v>20</v>
      </c>
      <c r="L59">
        <v>1800</v>
      </c>
      <c r="M59">
        <v>0.2</v>
      </c>
      <c r="N59" t="s">
        <v>86</v>
      </c>
      <c r="O59" t="s">
        <v>75</v>
      </c>
      <c r="P59" s="25">
        <v>46235</v>
      </c>
      <c r="Q59">
        <v>4</v>
      </c>
      <c r="R59" t="s">
        <v>76</v>
      </c>
      <c r="S59" t="s">
        <v>121</v>
      </c>
      <c r="T59">
        <f>K59*L59</f>
        <v>36000</v>
      </c>
      <c r="U59">
        <f>T59*M59</f>
        <v>7200</v>
      </c>
      <c r="V59">
        <f>T59-U59</f>
        <v>28800</v>
      </c>
    </row>
    <row r="60" spans="1:22" ht="20.100000000000001" customHeight="1" x14ac:dyDescent="0.25">
      <c r="A60" t="s">
        <v>188</v>
      </c>
      <c r="B60" s="25">
        <v>46099</v>
      </c>
      <c r="C60" t="s">
        <v>118</v>
      </c>
      <c r="D60" t="s">
        <v>49</v>
      </c>
      <c r="E60">
        <v>40</v>
      </c>
      <c r="F60" t="s">
        <v>138</v>
      </c>
      <c r="G60" t="s">
        <v>138</v>
      </c>
      <c r="H60" t="s">
        <v>62</v>
      </c>
      <c r="I60" t="s">
        <v>124</v>
      </c>
      <c r="J60" t="s">
        <v>143</v>
      </c>
      <c r="K60">
        <v>24</v>
      </c>
      <c r="L60">
        <v>2200</v>
      </c>
      <c r="M60">
        <v>0</v>
      </c>
      <c r="N60" t="s">
        <v>86</v>
      </c>
      <c r="O60" t="s">
        <v>56</v>
      </c>
      <c r="P60" s="25">
        <v>46106</v>
      </c>
      <c r="Q60">
        <v>3</v>
      </c>
      <c r="R60" t="s">
        <v>57</v>
      </c>
      <c r="S60" t="s">
        <v>129</v>
      </c>
      <c r="T60">
        <f>K60*L60</f>
        <v>52800</v>
      </c>
      <c r="U60">
        <f>T60*M60</f>
        <v>0</v>
      </c>
      <c r="V60">
        <f>T60-U60</f>
        <v>52800</v>
      </c>
    </row>
    <row r="61" spans="1:22" ht="20.100000000000001" customHeight="1" x14ac:dyDescent="0.25">
      <c r="A61" t="s">
        <v>188</v>
      </c>
      <c r="B61" s="25">
        <v>46084</v>
      </c>
      <c r="C61" t="s">
        <v>179</v>
      </c>
      <c r="D61" t="s">
        <v>61</v>
      </c>
      <c r="E61">
        <v>31</v>
      </c>
      <c r="F61" t="s">
        <v>95</v>
      </c>
      <c r="G61" t="s">
        <v>51</v>
      </c>
      <c r="H61" t="s">
        <v>71</v>
      </c>
      <c r="I61" t="s">
        <v>96</v>
      </c>
      <c r="J61" t="s">
        <v>54</v>
      </c>
      <c r="K61">
        <v>20</v>
      </c>
      <c r="L61">
        <v>450</v>
      </c>
      <c r="M61">
        <v>0.15</v>
      </c>
      <c r="N61" t="s">
        <v>74</v>
      </c>
      <c r="O61" t="s">
        <v>56</v>
      </c>
      <c r="P61" s="25">
        <v>46086</v>
      </c>
      <c r="Q61">
        <v>3</v>
      </c>
      <c r="R61" t="s">
        <v>76</v>
      </c>
      <c r="S61" t="s">
        <v>66</v>
      </c>
      <c r="T61">
        <f>K61*L61</f>
        <v>9000</v>
      </c>
      <c r="U61">
        <f>T61*M61</f>
        <v>1350</v>
      </c>
      <c r="V61">
        <f>T61-U61</f>
        <v>7650</v>
      </c>
    </row>
    <row r="62" spans="1:22" ht="20.100000000000001" customHeight="1" x14ac:dyDescent="0.25">
      <c r="A62" t="s">
        <v>189</v>
      </c>
      <c r="B62" s="25">
        <v>46243</v>
      </c>
      <c r="C62" t="s">
        <v>111</v>
      </c>
      <c r="D62" t="s">
        <v>61</v>
      </c>
      <c r="E62">
        <v>37</v>
      </c>
      <c r="F62" t="s">
        <v>69</v>
      </c>
      <c r="G62" t="s">
        <v>70</v>
      </c>
      <c r="H62" t="s">
        <v>62</v>
      </c>
      <c r="I62" t="s">
        <v>63</v>
      </c>
      <c r="J62" t="s">
        <v>54</v>
      </c>
      <c r="K62">
        <v>7</v>
      </c>
      <c r="L62">
        <v>250</v>
      </c>
      <c r="M62">
        <v>0.15</v>
      </c>
      <c r="N62" t="s">
        <v>55</v>
      </c>
      <c r="O62" t="s">
        <v>56</v>
      </c>
      <c r="P62" s="25">
        <v>46247</v>
      </c>
      <c r="Q62">
        <v>2</v>
      </c>
      <c r="R62" t="s">
        <v>76</v>
      </c>
      <c r="S62" t="s">
        <v>77</v>
      </c>
      <c r="T62">
        <f>K62*L62</f>
        <v>1750</v>
      </c>
      <c r="U62">
        <f>T62*M62</f>
        <v>262.5</v>
      </c>
      <c r="V62">
        <f>T62-U62</f>
        <v>1487.5</v>
      </c>
    </row>
    <row r="63" spans="1:22" ht="20.100000000000001" customHeight="1" x14ac:dyDescent="0.25">
      <c r="A63" t="s">
        <v>190</v>
      </c>
      <c r="B63" s="25">
        <v>46059</v>
      </c>
      <c r="C63" t="s">
        <v>141</v>
      </c>
      <c r="D63" t="s">
        <v>61</v>
      </c>
      <c r="E63">
        <v>40</v>
      </c>
      <c r="F63" t="s">
        <v>138</v>
      </c>
      <c r="G63" t="s">
        <v>138</v>
      </c>
      <c r="H63" t="s">
        <v>62</v>
      </c>
      <c r="I63" t="s">
        <v>63</v>
      </c>
      <c r="J63" t="s">
        <v>97</v>
      </c>
      <c r="K63">
        <v>15</v>
      </c>
      <c r="L63">
        <v>250</v>
      </c>
      <c r="M63">
        <v>0</v>
      </c>
      <c r="N63" t="s">
        <v>92</v>
      </c>
      <c r="O63" t="s">
        <v>56</v>
      </c>
      <c r="P63" s="25">
        <v>46060</v>
      </c>
      <c r="Q63">
        <v>4</v>
      </c>
      <c r="R63" t="s">
        <v>76</v>
      </c>
      <c r="S63" t="s">
        <v>104</v>
      </c>
      <c r="T63">
        <f>K63*L63</f>
        <v>3750</v>
      </c>
      <c r="U63">
        <f>T63*M63</f>
        <v>0</v>
      </c>
      <c r="V63">
        <f>T63-U63</f>
        <v>3750</v>
      </c>
    </row>
    <row r="64" spans="1:22" ht="20.100000000000001" customHeight="1" x14ac:dyDescent="0.25">
      <c r="A64" t="s">
        <v>191</v>
      </c>
      <c r="B64" s="25">
        <v>46161</v>
      </c>
      <c r="C64" t="s">
        <v>79</v>
      </c>
      <c r="D64" t="s">
        <v>61</v>
      </c>
      <c r="E64">
        <v>59</v>
      </c>
      <c r="F64" t="s">
        <v>95</v>
      </c>
      <c r="G64" t="s">
        <v>51</v>
      </c>
      <c r="H64" t="s">
        <v>71</v>
      </c>
      <c r="I64" t="s">
        <v>85</v>
      </c>
      <c r="J64" t="s">
        <v>143</v>
      </c>
      <c r="K64">
        <v>9</v>
      </c>
      <c r="L64">
        <v>85</v>
      </c>
      <c r="M64">
        <v>0</v>
      </c>
      <c r="N64" t="s">
        <v>55</v>
      </c>
      <c r="O64" t="s">
        <v>56</v>
      </c>
      <c r="P64" s="25">
        <v>46165</v>
      </c>
      <c r="Q64">
        <v>5</v>
      </c>
      <c r="R64" t="s">
        <v>57</v>
      </c>
      <c r="S64" t="s">
        <v>77</v>
      </c>
      <c r="T64">
        <f>K64*L64</f>
        <v>765</v>
      </c>
      <c r="U64">
        <f>T64*M64</f>
        <v>0</v>
      </c>
      <c r="V64">
        <f>T64-U64</f>
        <v>765</v>
      </c>
    </row>
    <row r="65" spans="1:22" ht="20.100000000000001" customHeight="1" x14ac:dyDescent="0.25">
      <c r="A65" t="s">
        <v>192</v>
      </c>
      <c r="B65" s="25">
        <v>46195</v>
      </c>
      <c r="C65" t="s">
        <v>68</v>
      </c>
      <c r="D65" t="s">
        <v>61</v>
      </c>
      <c r="E65">
        <v>32</v>
      </c>
      <c r="F65" t="s">
        <v>123</v>
      </c>
      <c r="G65" t="s">
        <v>51</v>
      </c>
      <c r="H65" t="s">
        <v>62</v>
      </c>
      <c r="I65" t="s">
        <v>146</v>
      </c>
      <c r="J65" t="s">
        <v>97</v>
      </c>
      <c r="K65">
        <v>6</v>
      </c>
      <c r="L65">
        <v>1800</v>
      </c>
      <c r="M65">
        <v>0.2</v>
      </c>
      <c r="N65" t="s">
        <v>92</v>
      </c>
      <c r="O65" t="s">
        <v>56</v>
      </c>
      <c r="P65" s="25">
        <v>46202</v>
      </c>
      <c r="Q65">
        <v>4</v>
      </c>
      <c r="R65" t="s">
        <v>57</v>
      </c>
      <c r="S65" t="s">
        <v>121</v>
      </c>
      <c r="T65">
        <f>K65*L65</f>
        <v>10800</v>
      </c>
      <c r="U65">
        <f>T65*M65</f>
        <v>2160</v>
      </c>
      <c r="V65">
        <f>T65-U65</f>
        <v>8640</v>
      </c>
    </row>
    <row r="66" spans="1:22" ht="20.100000000000001" customHeight="1" x14ac:dyDescent="0.25">
      <c r="A66" t="s">
        <v>193</v>
      </c>
      <c r="B66" s="25">
        <v>46112</v>
      </c>
      <c r="C66" t="s">
        <v>148</v>
      </c>
      <c r="D66" t="s">
        <v>49</v>
      </c>
      <c r="E66">
        <v>27</v>
      </c>
      <c r="F66" t="s">
        <v>128</v>
      </c>
      <c r="G66" t="s">
        <v>51</v>
      </c>
      <c r="H66" t="s">
        <v>71</v>
      </c>
      <c r="I66" t="s">
        <v>96</v>
      </c>
      <c r="J66" t="s">
        <v>54</v>
      </c>
      <c r="K66">
        <v>16</v>
      </c>
      <c r="L66">
        <v>450</v>
      </c>
      <c r="M66">
        <v>0.1</v>
      </c>
      <c r="N66" t="s">
        <v>92</v>
      </c>
      <c r="O66" t="s">
        <v>75</v>
      </c>
      <c r="P66" s="25">
        <v>46116</v>
      </c>
      <c r="Q66">
        <v>5</v>
      </c>
      <c r="R66" t="s">
        <v>57</v>
      </c>
      <c r="S66" t="s">
        <v>121</v>
      </c>
      <c r="T66">
        <f>K66*L66</f>
        <v>7200</v>
      </c>
      <c r="U66">
        <f>T66*M66</f>
        <v>720</v>
      </c>
      <c r="V66">
        <f>T66-U66</f>
        <v>6480</v>
      </c>
    </row>
    <row r="67" spans="1:22" ht="20.100000000000001" customHeight="1" x14ac:dyDescent="0.25">
      <c r="A67" t="s">
        <v>194</v>
      </c>
      <c r="B67" s="25">
        <v>46045</v>
      </c>
      <c r="C67" t="s">
        <v>68</v>
      </c>
      <c r="D67" t="s">
        <v>49</v>
      </c>
      <c r="E67">
        <v>28</v>
      </c>
      <c r="F67" t="s">
        <v>69</v>
      </c>
      <c r="G67" t="s">
        <v>70</v>
      </c>
      <c r="H67" t="s">
        <v>71</v>
      </c>
      <c r="I67" t="s">
        <v>112</v>
      </c>
      <c r="J67" t="s">
        <v>82</v>
      </c>
      <c r="K67">
        <v>1</v>
      </c>
      <c r="L67">
        <v>320</v>
      </c>
      <c r="M67">
        <v>0.25</v>
      </c>
      <c r="N67" t="s">
        <v>65</v>
      </c>
      <c r="O67" t="s">
        <v>56</v>
      </c>
      <c r="P67" s="25">
        <v>46048</v>
      </c>
      <c r="Q67">
        <v>1</v>
      </c>
      <c r="R67" t="s">
        <v>57</v>
      </c>
      <c r="S67" t="s">
        <v>104</v>
      </c>
      <c r="T67">
        <f>K67*L67</f>
        <v>320</v>
      </c>
      <c r="U67">
        <f>T67*M67</f>
        <v>80</v>
      </c>
      <c r="V67">
        <f>T67-U67</f>
        <v>240</v>
      </c>
    </row>
    <row r="68" spans="1:22" ht="20.100000000000001" customHeight="1" x14ac:dyDescent="0.25">
      <c r="A68" t="s">
        <v>195</v>
      </c>
      <c r="B68" s="25">
        <v>46115</v>
      </c>
      <c r="C68" t="s">
        <v>94</v>
      </c>
      <c r="D68" t="s">
        <v>49</v>
      </c>
      <c r="E68">
        <v>61</v>
      </c>
      <c r="F68" t="s">
        <v>123</v>
      </c>
      <c r="G68" t="s">
        <v>51</v>
      </c>
      <c r="H68" t="s">
        <v>52</v>
      </c>
      <c r="I68" t="s">
        <v>100</v>
      </c>
      <c r="J68" t="s">
        <v>97</v>
      </c>
      <c r="K68">
        <v>18</v>
      </c>
      <c r="L68">
        <v>1200</v>
      </c>
      <c r="M68">
        <v>0.05</v>
      </c>
      <c r="N68" t="s">
        <v>74</v>
      </c>
      <c r="O68" t="s">
        <v>56</v>
      </c>
      <c r="P68" s="25">
        <v>46120</v>
      </c>
      <c r="Q68">
        <v>4</v>
      </c>
      <c r="R68" t="s">
        <v>57</v>
      </c>
      <c r="S68" t="s">
        <v>58</v>
      </c>
      <c r="T68">
        <f>K68*L68</f>
        <v>21600</v>
      </c>
      <c r="U68">
        <f>T68*M68</f>
        <v>1080</v>
      </c>
      <c r="V68">
        <f>T68-U68</f>
        <v>20520</v>
      </c>
    </row>
    <row r="69" spans="1:22" ht="20.100000000000001" customHeight="1" x14ac:dyDescent="0.25">
      <c r="A69" t="s">
        <v>196</v>
      </c>
      <c r="B69" s="25">
        <v>46184</v>
      </c>
      <c r="C69" t="s">
        <v>145</v>
      </c>
      <c r="D69" t="s">
        <v>61</v>
      </c>
      <c r="E69">
        <v>40</v>
      </c>
      <c r="F69" t="s">
        <v>115</v>
      </c>
      <c r="G69" t="s">
        <v>51</v>
      </c>
      <c r="H69" t="s">
        <v>52</v>
      </c>
      <c r="I69" t="s">
        <v>91</v>
      </c>
      <c r="J69" t="s">
        <v>64</v>
      </c>
      <c r="K69">
        <v>3</v>
      </c>
      <c r="L69">
        <v>12500</v>
      </c>
      <c r="M69">
        <v>0.05</v>
      </c>
      <c r="N69" t="s">
        <v>55</v>
      </c>
      <c r="O69" t="s">
        <v>56</v>
      </c>
      <c r="P69" s="25">
        <v>46189</v>
      </c>
      <c r="Q69">
        <v>1</v>
      </c>
      <c r="R69" t="s">
        <v>57</v>
      </c>
      <c r="S69" t="s">
        <v>121</v>
      </c>
      <c r="T69">
        <f>K69*L69</f>
        <v>37500</v>
      </c>
      <c r="U69">
        <f>T69*M69</f>
        <v>1875</v>
      </c>
      <c r="V69">
        <f>T69-U69</f>
        <v>35625</v>
      </c>
    </row>
    <row r="70" spans="1:22" ht="20.100000000000001" customHeight="1" x14ac:dyDescent="0.25">
      <c r="A70" t="s">
        <v>197</v>
      </c>
      <c r="B70" s="25">
        <v>46261</v>
      </c>
      <c r="C70" t="s">
        <v>84</v>
      </c>
      <c r="D70" t="s">
        <v>49</v>
      </c>
      <c r="E70">
        <v>47</v>
      </c>
      <c r="F70" t="s">
        <v>123</v>
      </c>
      <c r="G70" t="s">
        <v>51</v>
      </c>
      <c r="H70" t="s">
        <v>71</v>
      </c>
      <c r="I70" t="s">
        <v>160</v>
      </c>
      <c r="J70" t="s">
        <v>64</v>
      </c>
      <c r="K70">
        <v>18</v>
      </c>
      <c r="L70">
        <v>45</v>
      </c>
      <c r="M70">
        <v>0.05</v>
      </c>
      <c r="N70" t="s">
        <v>92</v>
      </c>
      <c r="O70" t="s">
        <v>56</v>
      </c>
      <c r="P70" s="25">
        <v>46267</v>
      </c>
      <c r="Q70">
        <v>5</v>
      </c>
      <c r="R70" t="s">
        <v>57</v>
      </c>
      <c r="S70" t="s">
        <v>77</v>
      </c>
      <c r="T70">
        <f>K70*L70</f>
        <v>810</v>
      </c>
      <c r="U70">
        <f>T70*M70</f>
        <v>40.5</v>
      </c>
      <c r="V70">
        <f>T70-U70</f>
        <v>769.5</v>
      </c>
    </row>
    <row r="71" spans="1:22" ht="20.100000000000001" customHeight="1" x14ac:dyDescent="0.25">
      <c r="A71" t="s">
        <v>198</v>
      </c>
      <c r="B71" s="25">
        <v>46040</v>
      </c>
      <c r="C71" t="s">
        <v>94</v>
      </c>
      <c r="D71" t="s">
        <v>49</v>
      </c>
      <c r="E71">
        <v>42</v>
      </c>
      <c r="F71" t="s">
        <v>69</v>
      </c>
      <c r="G71" t="s">
        <v>70</v>
      </c>
      <c r="H71" t="s">
        <v>62</v>
      </c>
      <c r="I71" t="s">
        <v>81</v>
      </c>
      <c r="J71" t="s">
        <v>82</v>
      </c>
      <c r="K71">
        <v>1</v>
      </c>
      <c r="L71">
        <v>750</v>
      </c>
      <c r="M71">
        <v>0.1</v>
      </c>
      <c r="N71" t="s">
        <v>74</v>
      </c>
      <c r="O71" t="s">
        <v>75</v>
      </c>
      <c r="P71" s="25">
        <v>46043</v>
      </c>
      <c r="Q71">
        <v>5</v>
      </c>
      <c r="R71" t="s">
        <v>76</v>
      </c>
      <c r="S71" t="s">
        <v>77</v>
      </c>
      <c r="T71">
        <f>K71*L71</f>
        <v>750</v>
      </c>
      <c r="U71">
        <f>T71*M71</f>
        <v>75</v>
      </c>
      <c r="V71">
        <f>T71-U71</f>
        <v>675</v>
      </c>
    </row>
    <row r="72" spans="1:22" ht="20.100000000000001" customHeight="1" x14ac:dyDescent="0.25">
      <c r="A72" t="s">
        <v>199</v>
      </c>
      <c r="B72" s="25">
        <v>46061</v>
      </c>
      <c r="C72" t="s">
        <v>179</v>
      </c>
      <c r="D72" t="s">
        <v>49</v>
      </c>
      <c r="E72">
        <v>43</v>
      </c>
      <c r="F72" t="s">
        <v>200</v>
      </c>
      <c r="G72" t="s">
        <v>51</v>
      </c>
      <c r="H72" t="s">
        <v>62</v>
      </c>
      <c r="I72" t="s">
        <v>63</v>
      </c>
      <c r="J72" t="s">
        <v>64</v>
      </c>
      <c r="K72">
        <v>15</v>
      </c>
      <c r="L72">
        <v>250</v>
      </c>
      <c r="M72">
        <v>0.1</v>
      </c>
      <c r="N72" t="s">
        <v>86</v>
      </c>
      <c r="O72" t="s">
        <v>125</v>
      </c>
      <c r="P72" s="25">
        <v>46065</v>
      </c>
      <c r="Q72">
        <v>2</v>
      </c>
      <c r="R72" t="s">
        <v>76</v>
      </c>
      <c r="S72" t="s">
        <v>129</v>
      </c>
      <c r="T72">
        <f>K72*L72</f>
        <v>3750</v>
      </c>
      <c r="U72">
        <f>T72*M72</f>
        <v>375</v>
      </c>
      <c r="V72">
        <f>T72-U72</f>
        <v>3375</v>
      </c>
    </row>
    <row r="73" spans="1:22" ht="20.100000000000001" customHeight="1" x14ac:dyDescent="0.25">
      <c r="A73" t="s">
        <v>201</v>
      </c>
      <c r="B73" s="25">
        <v>46242</v>
      </c>
      <c r="C73" t="s">
        <v>167</v>
      </c>
      <c r="D73" t="s">
        <v>61</v>
      </c>
      <c r="E73">
        <v>41</v>
      </c>
      <c r="F73" t="s">
        <v>131</v>
      </c>
      <c r="G73" t="s">
        <v>132</v>
      </c>
      <c r="H73" t="s">
        <v>71</v>
      </c>
      <c r="I73" t="s">
        <v>96</v>
      </c>
      <c r="J73" t="s">
        <v>64</v>
      </c>
      <c r="K73">
        <v>22</v>
      </c>
      <c r="L73">
        <v>450</v>
      </c>
      <c r="M73">
        <v>0.25</v>
      </c>
      <c r="N73" t="s">
        <v>86</v>
      </c>
      <c r="O73" t="s">
        <v>56</v>
      </c>
      <c r="P73" s="25">
        <v>46249</v>
      </c>
      <c r="Q73">
        <v>1</v>
      </c>
      <c r="R73" t="s">
        <v>57</v>
      </c>
      <c r="S73" t="s">
        <v>104</v>
      </c>
      <c r="T73">
        <f>K73*L73</f>
        <v>9900</v>
      </c>
      <c r="U73">
        <f>T73*M73</f>
        <v>2475</v>
      </c>
      <c r="V73">
        <f>T73-U73</f>
        <v>7425</v>
      </c>
    </row>
    <row r="74" spans="1:22" ht="20.100000000000001" customHeight="1" x14ac:dyDescent="0.25">
      <c r="A74" t="s">
        <v>202</v>
      </c>
      <c r="B74" s="25">
        <v>46174</v>
      </c>
      <c r="C74" t="s">
        <v>155</v>
      </c>
      <c r="D74" t="s">
        <v>49</v>
      </c>
      <c r="E74">
        <v>27</v>
      </c>
      <c r="F74" t="s">
        <v>115</v>
      </c>
      <c r="G74" t="s">
        <v>51</v>
      </c>
      <c r="H74" t="s">
        <v>71</v>
      </c>
      <c r="I74" t="s">
        <v>72</v>
      </c>
      <c r="J74" t="s">
        <v>54</v>
      </c>
      <c r="K74">
        <v>5</v>
      </c>
      <c r="L74">
        <v>150</v>
      </c>
      <c r="M74">
        <v>0.15</v>
      </c>
      <c r="N74" t="s">
        <v>86</v>
      </c>
      <c r="O74" t="s">
        <v>56</v>
      </c>
      <c r="P74" s="25">
        <v>46177</v>
      </c>
      <c r="Q74">
        <v>3</v>
      </c>
      <c r="R74" t="s">
        <v>76</v>
      </c>
      <c r="S74" t="s">
        <v>104</v>
      </c>
      <c r="T74">
        <f>K74*L74</f>
        <v>750</v>
      </c>
      <c r="U74">
        <f>T74*M74</f>
        <v>112.5</v>
      </c>
      <c r="V74">
        <f>T74-U74</f>
        <v>637.5</v>
      </c>
    </row>
    <row r="75" spans="1:22" ht="20.100000000000001" customHeight="1" x14ac:dyDescent="0.25">
      <c r="A75" t="s">
        <v>203</v>
      </c>
      <c r="B75" s="25">
        <v>46200</v>
      </c>
      <c r="C75" t="s">
        <v>88</v>
      </c>
      <c r="D75" t="s">
        <v>61</v>
      </c>
      <c r="E75">
        <v>42</v>
      </c>
      <c r="F75" t="s">
        <v>89</v>
      </c>
      <c r="G75" t="s">
        <v>90</v>
      </c>
      <c r="H75" t="s">
        <v>62</v>
      </c>
      <c r="I75" t="s">
        <v>146</v>
      </c>
      <c r="J75" t="s">
        <v>97</v>
      </c>
      <c r="K75">
        <v>21</v>
      </c>
      <c r="L75">
        <v>1800</v>
      </c>
      <c r="M75">
        <v>0.25</v>
      </c>
      <c r="N75" t="s">
        <v>92</v>
      </c>
      <c r="O75" t="s">
        <v>75</v>
      </c>
      <c r="P75" s="25">
        <v>46204</v>
      </c>
      <c r="Q75">
        <v>1</v>
      </c>
      <c r="R75" t="s">
        <v>57</v>
      </c>
      <c r="S75" t="s">
        <v>129</v>
      </c>
      <c r="T75">
        <f>K75*L75</f>
        <v>37800</v>
      </c>
      <c r="U75">
        <f>T75*M75</f>
        <v>9450</v>
      </c>
      <c r="V75">
        <f>T75-U75</f>
        <v>28350</v>
      </c>
    </row>
    <row r="76" spans="1:22" ht="20.100000000000001" customHeight="1" x14ac:dyDescent="0.25">
      <c r="A76" t="s">
        <v>204</v>
      </c>
      <c r="B76" s="25">
        <v>46184</v>
      </c>
      <c r="C76" t="s">
        <v>205</v>
      </c>
      <c r="D76" t="s">
        <v>61</v>
      </c>
      <c r="E76">
        <v>26</v>
      </c>
      <c r="F76" t="s">
        <v>120</v>
      </c>
      <c r="G76" t="s">
        <v>51</v>
      </c>
      <c r="H76" t="s">
        <v>52</v>
      </c>
      <c r="I76" t="s">
        <v>53</v>
      </c>
      <c r="J76" t="s">
        <v>64</v>
      </c>
      <c r="K76">
        <v>6</v>
      </c>
      <c r="L76">
        <v>55000</v>
      </c>
      <c r="M76">
        <v>0.25</v>
      </c>
      <c r="N76" t="s">
        <v>74</v>
      </c>
      <c r="O76" t="s">
        <v>125</v>
      </c>
      <c r="P76" s="25">
        <v>46190</v>
      </c>
      <c r="Q76">
        <v>1</v>
      </c>
      <c r="R76" t="s">
        <v>76</v>
      </c>
      <c r="S76" t="s">
        <v>77</v>
      </c>
      <c r="T76">
        <f>K76*L76</f>
        <v>330000</v>
      </c>
      <c r="U76">
        <f>T76*M76</f>
        <v>82500</v>
      </c>
      <c r="V76">
        <f>T76-U76</f>
        <v>247500</v>
      </c>
    </row>
    <row r="77" spans="1:22" ht="20.100000000000001" customHeight="1" x14ac:dyDescent="0.25">
      <c r="A77" t="s">
        <v>206</v>
      </c>
      <c r="B77" s="25">
        <v>46037</v>
      </c>
      <c r="C77" t="s">
        <v>207</v>
      </c>
      <c r="D77" t="s">
        <v>49</v>
      </c>
      <c r="E77">
        <v>48</v>
      </c>
      <c r="F77" t="s">
        <v>128</v>
      </c>
      <c r="G77" t="s">
        <v>51</v>
      </c>
      <c r="H77" t="s">
        <v>52</v>
      </c>
      <c r="I77" t="s">
        <v>91</v>
      </c>
      <c r="J77" t="s">
        <v>64</v>
      </c>
      <c r="K77">
        <v>19</v>
      </c>
      <c r="L77">
        <v>12500</v>
      </c>
      <c r="M77">
        <v>0.25</v>
      </c>
      <c r="N77" t="s">
        <v>86</v>
      </c>
      <c r="O77" t="s">
        <v>56</v>
      </c>
      <c r="P77" s="25">
        <v>46040</v>
      </c>
      <c r="Q77">
        <v>1</v>
      </c>
      <c r="R77" t="s">
        <v>76</v>
      </c>
      <c r="S77" t="s">
        <v>104</v>
      </c>
      <c r="T77">
        <f>K77*L77</f>
        <v>237500</v>
      </c>
      <c r="U77">
        <f>T77*M77</f>
        <v>59375</v>
      </c>
      <c r="V77">
        <f>T77-U77</f>
        <v>178125</v>
      </c>
    </row>
    <row r="78" spans="1:22" ht="20.100000000000001" customHeight="1" x14ac:dyDescent="0.25">
      <c r="A78" t="s">
        <v>208</v>
      </c>
      <c r="B78" s="25">
        <v>46197</v>
      </c>
      <c r="C78" t="s">
        <v>183</v>
      </c>
      <c r="D78" t="s">
        <v>61</v>
      </c>
      <c r="E78">
        <v>35</v>
      </c>
      <c r="F78" t="s">
        <v>123</v>
      </c>
      <c r="G78" t="s">
        <v>51</v>
      </c>
      <c r="H78" t="s">
        <v>62</v>
      </c>
      <c r="I78" t="s">
        <v>81</v>
      </c>
      <c r="J78" t="s">
        <v>64</v>
      </c>
      <c r="K78">
        <v>9</v>
      </c>
      <c r="L78">
        <v>750</v>
      </c>
      <c r="M78">
        <v>0.25</v>
      </c>
      <c r="N78" t="s">
        <v>55</v>
      </c>
      <c r="O78" t="s">
        <v>75</v>
      </c>
      <c r="P78" s="25">
        <v>46199</v>
      </c>
      <c r="Q78">
        <v>4</v>
      </c>
      <c r="R78" t="s">
        <v>76</v>
      </c>
      <c r="S78" t="s">
        <v>66</v>
      </c>
      <c r="T78">
        <f>K78*L78</f>
        <v>6750</v>
      </c>
      <c r="U78">
        <f>T78*M78</f>
        <v>1687.5</v>
      </c>
      <c r="V78">
        <f>T78-U78</f>
        <v>5062.5</v>
      </c>
    </row>
    <row r="79" spans="1:22" ht="20.100000000000001" customHeight="1" x14ac:dyDescent="0.25">
      <c r="A79" t="s">
        <v>209</v>
      </c>
      <c r="B79" s="25">
        <v>46162</v>
      </c>
      <c r="C79" t="s">
        <v>111</v>
      </c>
      <c r="D79" t="s">
        <v>49</v>
      </c>
      <c r="E79">
        <v>43</v>
      </c>
      <c r="F79" t="s">
        <v>138</v>
      </c>
      <c r="G79" t="s">
        <v>138</v>
      </c>
      <c r="H79" t="s">
        <v>71</v>
      </c>
      <c r="I79" t="s">
        <v>96</v>
      </c>
      <c r="J79" t="s">
        <v>54</v>
      </c>
      <c r="K79">
        <v>9</v>
      </c>
      <c r="L79">
        <v>450</v>
      </c>
      <c r="M79">
        <v>0.15</v>
      </c>
      <c r="N79" t="s">
        <v>74</v>
      </c>
      <c r="O79" t="s">
        <v>56</v>
      </c>
      <c r="P79" s="25">
        <v>46164</v>
      </c>
      <c r="Q79">
        <v>4</v>
      </c>
      <c r="R79" t="s">
        <v>76</v>
      </c>
      <c r="S79" t="s">
        <v>58</v>
      </c>
      <c r="T79">
        <f>K79*L79</f>
        <v>4050</v>
      </c>
      <c r="U79">
        <f>T79*M79</f>
        <v>607.5</v>
      </c>
      <c r="V79">
        <f>T79-U79</f>
        <v>3442.5</v>
      </c>
    </row>
    <row r="80" spans="1:22" ht="20.100000000000001" customHeight="1" x14ac:dyDescent="0.25">
      <c r="A80" t="s">
        <v>210</v>
      </c>
      <c r="B80" s="25">
        <v>46083</v>
      </c>
      <c r="C80" t="s">
        <v>118</v>
      </c>
      <c r="D80" t="s">
        <v>49</v>
      </c>
      <c r="E80">
        <v>57</v>
      </c>
      <c r="F80" t="s">
        <v>99</v>
      </c>
      <c r="G80" t="s">
        <v>51</v>
      </c>
      <c r="H80" t="s">
        <v>62</v>
      </c>
      <c r="I80" t="s">
        <v>81</v>
      </c>
      <c r="J80" t="s">
        <v>73</v>
      </c>
      <c r="K80">
        <v>22</v>
      </c>
      <c r="L80">
        <v>750</v>
      </c>
      <c r="M80">
        <v>0.15</v>
      </c>
      <c r="N80" t="s">
        <v>74</v>
      </c>
      <c r="O80" t="s">
        <v>56</v>
      </c>
      <c r="P80" s="25">
        <v>46087</v>
      </c>
      <c r="Q80">
        <v>1</v>
      </c>
      <c r="R80" t="s">
        <v>76</v>
      </c>
      <c r="S80" t="s">
        <v>77</v>
      </c>
      <c r="T80">
        <f>K80*L80</f>
        <v>16500</v>
      </c>
      <c r="U80">
        <f>T80*M80</f>
        <v>2475</v>
      </c>
      <c r="V80">
        <f>T80-U80</f>
        <v>14025</v>
      </c>
    </row>
    <row r="81" spans="1:22" ht="20.100000000000001" customHeight="1" x14ac:dyDescent="0.25">
      <c r="A81" t="s">
        <v>211</v>
      </c>
      <c r="B81" s="25">
        <v>46254</v>
      </c>
      <c r="C81" t="s">
        <v>94</v>
      </c>
      <c r="D81" t="s">
        <v>61</v>
      </c>
      <c r="E81">
        <v>59</v>
      </c>
      <c r="F81" t="s">
        <v>69</v>
      </c>
      <c r="G81" t="s">
        <v>70</v>
      </c>
      <c r="H81" t="s">
        <v>71</v>
      </c>
      <c r="I81" t="s">
        <v>160</v>
      </c>
      <c r="J81" t="s">
        <v>54</v>
      </c>
      <c r="K81">
        <v>7</v>
      </c>
      <c r="L81">
        <v>45</v>
      </c>
      <c r="M81">
        <v>0.2</v>
      </c>
      <c r="N81" t="s">
        <v>74</v>
      </c>
      <c r="O81" t="s">
        <v>56</v>
      </c>
      <c r="P81" s="25">
        <v>46257</v>
      </c>
      <c r="Q81">
        <v>2</v>
      </c>
      <c r="R81" t="s">
        <v>57</v>
      </c>
      <c r="S81" t="s">
        <v>66</v>
      </c>
      <c r="T81">
        <f>K81*L81</f>
        <v>315</v>
      </c>
      <c r="U81">
        <f>T81*M81</f>
        <v>63</v>
      </c>
      <c r="V81">
        <f>T81-U81</f>
        <v>252</v>
      </c>
    </row>
    <row r="82" spans="1:22" ht="20.100000000000001" customHeight="1" x14ac:dyDescent="0.25">
      <c r="A82" t="s">
        <v>212</v>
      </c>
      <c r="B82" s="25">
        <v>46188</v>
      </c>
      <c r="C82" t="s">
        <v>84</v>
      </c>
      <c r="D82" t="s">
        <v>49</v>
      </c>
      <c r="E82">
        <v>23</v>
      </c>
      <c r="F82" t="s">
        <v>138</v>
      </c>
      <c r="G82" t="s">
        <v>138</v>
      </c>
      <c r="H82" t="s">
        <v>71</v>
      </c>
      <c r="I82" t="s">
        <v>160</v>
      </c>
      <c r="J82" t="s">
        <v>73</v>
      </c>
      <c r="K82">
        <v>10</v>
      </c>
      <c r="L82">
        <v>45</v>
      </c>
      <c r="M82">
        <v>0.1</v>
      </c>
      <c r="N82" t="s">
        <v>92</v>
      </c>
      <c r="O82" t="s">
        <v>56</v>
      </c>
      <c r="P82" s="25">
        <v>46189</v>
      </c>
      <c r="Q82">
        <v>2</v>
      </c>
      <c r="R82" t="s">
        <v>76</v>
      </c>
      <c r="S82" t="s">
        <v>104</v>
      </c>
      <c r="T82">
        <f>K82*L82</f>
        <v>450</v>
      </c>
      <c r="U82">
        <f>T82*M82</f>
        <v>45</v>
      </c>
      <c r="V82">
        <f>T82-U82</f>
        <v>405</v>
      </c>
    </row>
    <row r="83" spans="1:22" ht="20.100000000000001" customHeight="1" x14ac:dyDescent="0.25">
      <c r="A83" t="s">
        <v>213</v>
      </c>
      <c r="B83" s="25">
        <v>46151</v>
      </c>
      <c r="C83" t="s">
        <v>134</v>
      </c>
      <c r="D83" t="s">
        <v>49</v>
      </c>
      <c r="E83">
        <v>51</v>
      </c>
      <c r="F83" t="s">
        <v>69</v>
      </c>
      <c r="G83" t="s">
        <v>70</v>
      </c>
      <c r="H83" t="s">
        <v>71</v>
      </c>
      <c r="I83" t="s">
        <v>85</v>
      </c>
      <c r="J83" t="s">
        <v>82</v>
      </c>
      <c r="K83">
        <v>4</v>
      </c>
      <c r="L83">
        <v>85</v>
      </c>
      <c r="M83">
        <v>0.15</v>
      </c>
      <c r="N83" t="s">
        <v>55</v>
      </c>
      <c r="O83" t="s">
        <v>56</v>
      </c>
      <c r="P83" s="25">
        <v>46154</v>
      </c>
      <c r="Q83">
        <v>2</v>
      </c>
      <c r="R83" t="s">
        <v>76</v>
      </c>
      <c r="S83" t="s">
        <v>77</v>
      </c>
      <c r="T83">
        <f>K83*L83</f>
        <v>340</v>
      </c>
      <c r="U83">
        <f>T83*M83</f>
        <v>51</v>
      </c>
      <c r="V83">
        <f>T83-U83</f>
        <v>289</v>
      </c>
    </row>
    <row r="84" spans="1:22" ht="20.100000000000001" customHeight="1" x14ac:dyDescent="0.25">
      <c r="A84" t="s">
        <v>214</v>
      </c>
      <c r="B84" s="25">
        <v>46228</v>
      </c>
      <c r="C84" t="s">
        <v>207</v>
      </c>
      <c r="D84" t="s">
        <v>61</v>
      </c>
      <c r="E84">
        <v>46</v>
      </c>
      <c r="F84" t="s">
        <v>95</v>
      </c>
      <c r="G84" t="s">
        <v>51</v>
      </c>
      <c r="H84" t="s">
        <v>71</v>
      </c>
      <c r="I84" t="s">
        <v>112</v>
      </c>
      <c r="J84" t="s">
        <v>73</v>
      </c>
      <c r="K84">
        <v>15</v>
      </c>
      <c r="L84">
        <v>320</v>
      </c>
      <c r="M84">
        <v>0.1</v>
      </c>
      <c r="N84" t="s">
        <v>74</v>
      </c>
      <c r="O84" t="s">
        <v>56</v>
      </c>
      <c r="P84" s="25">
        <v>46233</v>
      </c>
      <c r="Q84">
        <v>3</v>
      </c>
      <c r="R84" t="s">
        <v>57</v>
      </c>
      <c r="S84" t="s">
        <v>66</v>
      </c>
      <c r="T84">
        <f>K84*L84</f>
        <v>4800</v>
      </c>
      <c r="U84">
        <f>T84*M84</f>
        <v>480</v>
      </c>
      <c r="V84">
        <f>T84-U84</f>
        <v>4320</v>
      </c>
    </row>
    <row r="85" spans="1:22" ht="20.100000000000001" customHeight="1" x14ac:dyDescent="0.25">
      <c r="A85" t="s">
        <v>215</v>
      </c>
      <c r="B85" s="25">
        <v>46082</v>
      </c>
      <c r="C85" t="s">
        <v>48</v>
      </c>
      <c r="D85" t="s">
        <v>49</v>
      </c>
      <c r="E85">
        <v>60</v>
      </c>
      <c r="F85" t="s">
        <v>50</v>
      </c>
      <c r="G85" t="s">
        <v>51</v>
      </c>
      <c r="H85" t="s">
        <v>62</v>
      </c>
      <c r="I85" t="s">
        <v>124</v>
      </c>
      <c r="J85" t="s">
        <v>54</v>
      </c>
      <c r="K85">
        <v>15</v>
      </c>
      <c r="L85">
        <v>2200</v>
      </c>
      <c r="M85">
        <v>0.25</v>
      </c>
      <c r="N85" t="s">
        <v>74</v>
      </c>
      <c r="O85" t="s">
        <v>56</v>
      </c>
      <c r="P85" s="25">
        <v>46086</v>
      </c>
      <c r="Q85">
        <v>1</v>
      </c>
      <c r="R85" t="s">
        <v>57</v>
      </c>
      <c r="S85" t="s">
        <v>58</v>
      </c>
      <c r="T85">
        <f>K85*L85</f>
        <v>33000</v>
      </c>
      <c r="U85">
        <f>T85*M85</f>
        <v>8250</v>
      </c>
      <c r="V85">
        <f>T85-U85</f>
        <v>24750</v>
      </c>
    </row>
    <row r="86" spans="1:22" ht="20.100000000000001" customHeight="1" x14ac:dyDescent="0.25">
      <c r="A86" t="s">
        <v>216</v>
      </c>
      <c r="B86" s="25">
        <v>46032</v>
      </c>
      <c r="C86" t="s">
        <v>183</v>
      </c>
      <c r="D86" t="s">
        <v>61</v>
      </c>
      <c r="E86">
        <v>27</v>
      </c>
      <c r="F86" t="s">
        <v>50</v>
      </c>
      <c r="G86" t="s">
        <v>51</v>
      </c>
      <c r="H86" t="s">
        <v>62</v>
      </c>
      <c r="I86" t="s">
        <v>135</v>
      </c>
      <c r="J86" t="s">
        <v>64</v>
      </c>
      <c r="K86">
        <v>15</v>
      </c>
      <c r="L86">
        <v>3500</v>
      </c>
      <c r="M86">
        <v>0.1</v>
      </c>
      <c r="N86" t="s">
        <v>65</v>
      </c>
      <c r="O86" t="s">
        <v>56</v>
      </c>
      <c r="P86" s="25">
        <v>46035</v>
      </c>
      <c r="Q86">
        <v>2</v>
      </c>
      <c r="R86" t="s">
        <v>76</v>
      </c>
      <c r="S86" t="s">
        <v>66</v>
      </c>
      <c r="T86">
        <f>K86*L86</f>
        <v>52500</v>
      </c>
      <c r="U86">
        <f>T86*M86</f>
        <v>5250</v>
      </c>
      <c r="V86">
        <f>T86-U86</f>
        <v>47250</v>
      </c>
    </row>
    <row r="87" spans="1:22" ht="20.100000000000001" customHeight="1" x14ac:dyDescent="0.25">
      <c r="A87" t="s">
        <v>217</v>
      </c>
      <c r="B87" s="25">
        <v>46048</v>
      </c>
      <c r="C87" t="s">
        <v>183</v>
      </c>
      <c r="D87" t="s">
        <v>49</v>
      </c>
      <c r="E87">
        <v>38</v>
      </c>
      <c r="F87" t="s">
        <v>95</v>
      </c>
      <c r="G87" t="s">
        <v>51</v>
      </c>
      <c r="H87" t="s">
        <v>62</v>
      </c>
      <c r="I87" t="s">
        <v>81</v>
      </c>
      <c r="J87" t="s">
        <v>103</v>
      </c>
      <c r="K87">
        <v>15</v>
      </c>
      <c r="L87">
        <v>750</v>
      </c>
      <c r="M87">
        <v>0.15</v>
      </c>
      <c r="N87" t="s">
        <v>86</v>
      </c>
      <c r="O87" t="s">
        <v>75</v>
      </c>
      <c r="P87" s="25">
        <v>46055</v>
      </c>
      <c r="Q87">
        <v>1</v>
      </c>
      <c r="R87" t="s">
        <v>76</v>
      </c>
      <c r="S87" t="s">
        <v>104</v>
      </c>
      <c r="T87">
        <f>K87*L87</f>
        <v>11250</v>
      </c>
      <c r="U87">
        <f>T87*M87</f>
        <v>1687.5</v>
      </c>
      <c r="V87">
        <f>T87-U87</f>
        <v>9562.5</v>
      </c>
    </row>
    <row r="88" spans="1:22" ht="20.100000000000001" customHeight="1" x14ac:dyDescent="0.25">
      <c r="A88" t="s">
        <v>218</v>
      </c>
      <c r="B88" s="25">
        <v>46253</v>
      </c>
      <c r="C88" t="s">
        <v>207</v>
      </c>
      <c r="D88" t="s">
        <v>61</v>
      </c>
      <c r="E88">
        <v>46</v>
      </c>
      <c r="F88" t="s">
        <v>99</v>
      </c>
      <c r="G88" t="s">
        <v>51</v>
      </c>
      <c r="H88" t="s">
        <v>52</v>
      </c>
      <c r="I88" t="s">
        <v>53</v>
      </c>
      <c r="J88" t="s">
        <v>82</v>
      </c>
      <c r="K88">
        <v>15</v>
      </c>
      <c r="L88">
        <v>55000</v>
      </c>
      <c r="M88">
        <v>0</v>
      </c>
      <c r="N88" t="s">
        <v>86</v>
      </c>
      <c r="O88" t="s">
        <v>56</v>
      </c>
      <c r="P88" s="25">
        <v>46259</v>
      </c>
      <c r="Q88">
        <v>5</v>
      </c>
      <c r="R88" t="s">
        <v>57</v>
      </c>
      <c r="S88" t="s">
        <v>58</v>
      </c>
      <c r="T88">
        <f>K88*L88</f>
        <v>825000</v>
      </c>
      <c r="U88">
        <f>T88*M88</f>
        <v>0</v>
      </c>
      <c r="V88">
        <f>T88-U88</f>
        <v>825000</v>
      </c>
    </row>
    <row r="89" spans="1:22" ht="20.100000000000001" customHeight="1" x14ac:dyDescent="0.25">
      <c r="A89" t="s">
        <v>219</v>
      </c>
      <c r="B89" s="25">
        <v>46224</v>
      </c>
      <c r="C89" t="s">
        <v>145</v>
      </c>
      <c r="D89" t="s">
        <v>61</v>
      </c>
      <c r="E89">
        <v>57</v>
      </c>
      <c r="F89" t="s">
        <v>50</v>
      </c>
      <c r="G89" t="s">
        <v>51</v>
      </c>
      <c r="H89" t="s">
        <v>52</v>
      </c>
      <c r="I89" t="s">
        <v>91</v>
      </c>
      <c r="J89" t="s">
        <v>103</v>
      </c>
      <c r="K89">
        <v>19</v>
      </c>
      <c r="L89">
        <v>12500</v>
      </c>
      <c r="M89">
        <v>0.05</v>
      </c>
      <c r="N89" t="s">
        <v>86</v>
      </c>
      <c r="O89" t="s">
        <v>56</v>
      </c>
      <c r="P89" s="25">
        <v>46227</v>
      </c>
      <c r="Q89">
        <v>2</v>
      </c>
      <c r="R89" t="s">
        <v>57</v>
      </c>
      <c r="S89" t="s">
        <v>101</v>
      </c>
      <c r="T89">
        <f>K89*L89</f>
        <v>237500</v>
      </c>
      <c r="U89">
        <f>T89*M89</f>
        <v>11875</v>
      </c>
      <c r="V89">
        <f>T89-U89</f>
        <v>225625</v>
      </c>
    </row>
    <row r="90" spans="1:22" ht="20.100000000000001" customHeight="1" x14ac:dyDescent="0.25">
      <c r="A90" t="s">
        <v>220</v>
      </c>
      <c r="B90" s="25">
        <v>46242</v>
      </c>
      <c r="C90" t="s">
        <v>185</v>
      </c>
      <c r="D90" t="s">
        <v>49</v>
      </c>
      <c r="E90">
        <v>32</v>
      </c>
      <c r="F90" t="s">
        <v>80</v>
      </c>
      <c r="G90" t="s">
        <v>51</v>
      </c>
      <c r="H90" t="s">
        <v>62</v>
      </c>
      <c r="I90" t="s">
        <v>124</v>
      </c>
      <c r="J90" t="s">
        <v>103</v>
      </c>
      <c r="K90">
        <v>1</v>
      </c>
      <c r="L90">
        <v>2200</v>
      </c>
      <c r="M90">
        <v>0.1</v>
      </c>
      <c r="N90" t="s">
        <v>86</v>
      </c>
      <c r="O90" t="s">
        <v>56</v>
      </c>
      <c r="P90" s="25">
        <v>46244</v>
      </c>
      <c r="Q90">
        <v>1</v>
      </c>
      <c r="R90" t="s">
        <v>57</v>
      </c>
      <c r="S90" t="s">
        <v>101</v>
      </c>
      <c r="T90">
        <f>K90*L90</f>
        <v>2200</v>
      </c>
      <c r="U90">
        <f>T90*M90</f>
        <v>220</v>
      </c>
      <c r="V90">
        <f>T90-U90</f>
        <v>1980</v>
      </c>
    </row>
    <row r="91" spans="1:22" ht="20.100000000000001" customHeight="1" x14ac:dyDescent="0.25">
      <c r="A91" t="s">
        <v>221</v>
      </c>
      <c r="B91" s="25">
        <v>46036</v>
      </c>
      <c r="C91" t="s">
        <v>222</v>
      </c>
      <c r="D91" t="s">
        <v>49</v>
      </c>
      <c r="E91">
        <v>54</v>
      </c>
      <c r="F91" t="s">
        <v>80</v>
      </c>
      <c r="G91" t="s">
        <v>51</v>
      </c>
      <c r="H91" t="s">
        <v>62</v>
      </c>
      <c r="I91" t="s">
        <v>124</v>
      </c>
      <c r="J91" t="s">
        <v>64</v>
      </c>
      <c r="K91">
        <v>15</v>
      </c>
      <c r="L91">
        <v>2200</v>
      </c>
      <c r="M91">
        <v>0.1</v>
      </c>
      <c r="N91" t="s">
        <v>65</v>
      </c>
      <c r="O91" t="s">
        <v>56</v>
      </c>
      <c r="P91" s="25">
        <v>46038</v>
      </c>
      <c r="Q91">
        <v>4</v>
      </c>
      <c r="R91" t="s">
        <v>57</v>
      </c>
      <c r="S91" t="s">
        <v>104</v>
      </c>
      <c r="T91">
        <f>K91*L91</f>
        <v>33000</v>
      </c>
      <c r="U91">
        <f>T91*M91</f>
        <v>3300</v>
      </c>
      <c r="V91">
        <f>T91-U91</f>
        <v>29700</v>
      </c>
    </row>
    <row r="92" spans="1:22" ht="20.100000000000001" customHeight="1" x14ac:dyDescent="0.25">
      <c r="A92" t="s">
        <v>223</v>
      </c>
      <c r="B92" s="25">
        <v>46034</v>
      </c>
      <c r="C92" t="s">
        <v>114</v>
      </c>
      <c r="D92" t="s">
        <v>49</v>
      </c>
      <c r="E92">
        <v>50</v>
      </c>
      <c r="F92" t="s">
        <v>89</v>
      </c>
      <c r="G92" t="s">
        <v>90</v>
      </c>
      <c r="H92" t="s">
        <v>52</v>
      </c>
      <c r="I92" t="s">
        <v>53</v>
      </c>
      <c r="J92" t="s">
        <v>64</v>
      </c>
      <c r="K92">
        <v>13</v>
      </c>
      <c r="L92">
        <v>55000</v>
      </c>
      <c r="M92">
        <v>0.15</v>
      </c>
      <c r="N92" t="s">
        <v>55</v>
      </c>
      <c r="O92" t="s">
        <v>56</v>
      </c>
      <c r="P92" s="25">
        <v>46040</v>
      </c>
      <c r="Q92">
        <v>4</v>
      </c>
      <c r="R92" t="s">
        <v>57</v>
      </c>
      <c r="S92" t="s">
        <v>58</v>
      </c>
      <c r="T92">
        <f>K92*L92</f>
        <v>715000</v>
      </c>
      <c r="U92">
        <f>T92*M92</f>
        <v>107250</v>
      </c>
      <c r="V92">
        <f>T92-U92</f>
        <v>607750</v>
      </c>
    </row>
    <row r="93" spans="1:22" ht="20.100000000000001" customHeight="1" x14ac:dyDescent="0.25">
      <c r="A93" t="s">
        <v>224</v>
      </c>
      <c r="B93" s="25">
        <v>46105</v>
      </c>
      <c r="C93" t="s">
        <v>185</v>
      </c>
      <c r="D93" t="s">
        <v>61</v>
      </c>
      <c r="E93">
        <v>29</v>
      </c>
      <c r="F93" t="s">
        <v>99</v>
      </c>
      <c r="G93" t="s">
        <v>51</v>
      </c>
      <c r="H93" t="s">
        <v>62</v>
      </c>
      <c r="I93" t="s">
        <v>63</v>
      </c>
      <c r="J93" t="s">
        <v>143</v>
      </c>
      <c r="K93">
        <v>23</v>
      </c>
      <c r="L93">
        <v>250</v>
      </c>
      <c r="M93">
        <v>0.1</v>
      </c>
      <c r="N93" t="s">
        <v>92</v>
      </c>
      <c r="O93" t="s">
        <v>125</v>
      </c>
      <c r="P93" s="25">
        <v>46110</v>
      </c>
      <c r="Q93">
        <v>5</v>
      </c>
      <c r="R93" t="s">
        <v>76</v>
      </c>
      <c r="S93" t="s">
        <v>121</v>
      </c>
      <c r="T93">
        <f>K93*L93</f>
        <v>5750</v>
      </c>
      <c r="U93">
        <f>T93*M93</f>
        <v>575</v>
      </c>
      <c r="V93">
        <f>T93-U93</f>
        <v>5175</v>
      </c>
    </row>
    <row r="94" spans="1:22" ht="20.100000000000001" customHeight="1" x14ac:dyDescent="0.25">
      <c r="A94" t="s">
        <v>225</v>
      </c>
      <c r="B94" s="25">
        <v>46152</v>
      </c>
      <c r="C94" t="s">
        <v>167</v>
      </c>
      <c r="D94" t="s">
        <v>61</v>
      </c>
      <c r="E94">
        <v>28</v>
      </c>
      <c r="F94" t="s">
        <v>89</v>
      </c>
      <c r="G94" t="s">
        <v>90</v>
      </c>
      <c r="H94" t="s">
        <v>62</v>
      </c>
      <c r="I94" t="s">
        <v>63</v>
      </c>
      <c r="J94" t="s">
        <v>54</v>
      </c>
      <c r="K94">
        <v>7</v>
      </c>
      <c r="L94">
        <v>250</v>
      </c>
      <c r="M94">
        <v>0.15</v>
      </c>
      <c r="N94" t="s">
        <v>92</v>
      </c>
      <c r="O94" t="s">
        <v>75</v>
      </c>
      <c r="P94" s="25">
        <v>46157</v>
      </c>
      <c r="Q94">
        <v>4</v>
      </c>
      <c r="R94" t="s">
        <v>76</v>
      </c>
      <c r="S94" t="s">
        <v>77</v>
      </c>
      <c r="T94">
        <f>K94*L94</f>
        <v>1750</v>
      </c>
      <c r="U94">
        <f>T94*M94</f>
        <v>262.5</v>
      </c>
      <c r="V94">
        <f>T94-U94</f>
        <v>1487.5</v>
      </c>
    </row>
    <row r="95" spans="1:22" ht="20.100000000000001" customHeight="1" x14ac:dyDescent="0.25">
      <c r="A95" t="s">
        <v>226</v>
      </c>
      <c r="B95" s="25">
        <v>46139</v>
      </c>
      <c r="C95" t="s">
        <v>167</v>
      </c>
      <c r="D95" t="s">
        <v>61</v>
      </c>
      <c r="E95">
        <v>41</v>
      </c>
      <c r="F95" t="s">
        <v>120</v>
      </c>
      <c r="G95" t="s">
        <v>51</v>
      </c>
      <c r="H95" t="s">
        <v>71</v>
      </c>
      <c r="I95" t="s">
        <v>85</v>
      </c>
      <c r="J95" t="s">
        <v>97</v>
      </c>
      <c r="K95">
        <v>5</v>
      </c>
      <c r="L95">
        <v>85</v>
      </c>
      <c r="M95">
        <v>0.25</v>
      </c>
      <c r="N95" t="s">
        <v>92</v>
      </c>
      <c r="O95" t="s">
        <v>56</v>
      </c>
      <c r="P95" s="25">
        <v>46143</v>
      </c>
      <c r="Q95">
        <v>1</v>
      </c>
      <c r="R95" t="s">
        <v>57</v>
      </c>
      <c r="S95" t="s">
        <v>121</v>
      </c>
      <c r="T95">
        <f>K95*L95</f>
        <v>425</v>
      </c>
      <c r="U95">
        <f>T95*M95</f>
        <v>106.25</v>
      </c>
      <c r="V95">
        <f>T95-U95</f>
        <v>318.75</v>
      </c>
    </row>
    <row r="96" spans="1:22" ht="20.100000000000001" customHeight="1" x14ac:dyDescent="0.25">
      <c r="A96" t="s">
        <v>227</v>
      </c>
      <c r="B96" s="25">
        <v>46047</v>
      </c>
      <c r="C96" t="s">
        <v>222</v>
      </c>
      <c r="D96" t="s">
        <v>49</v>
      </c>
      <c r="E96">
        <v>29</v>
      </c>
      <c r="F96" t="s">
        <v>115</v>
      </c>
      <c r="G96" t="s">
        <v>51</v>
      </c>
      <c r="H96" t="s">
        <v>52</v>
      </c>
      <c r="I96" t="s">
        <v>91</v>
      </c>
      <c r="J96" t="s">
        <v>143</v>
      </c>
      <c r="K96">
        <v>18</v>
      </c>
      <c r="L96">
        <v>12500</v>
      </c>
      <c r="M96">
        <v>0.1</v>
      </c>
      <c r="N96" t="s">
        <v>55</v>
      </c>
      <c r="O96" t="s">
        <v>56</v>
      </c>
      <c r="P96" s="25">
        <v>46053</v>
      </c>
      <c r="Q96">
        <v>4</v>
      </c>
      <c r="R96" t="s">
        <v>57</v>
      </c>
      <c r="S96" t="s">
        <v>101</v>
      </c>
      <c r="T96">
        <f>K96*L96</f>
        <v>225000</v>
      </c>
      <c r="U96">
        <f>T96*M96</f>
        <v>22500</v>
      </c>
      <c r="V96">
        <f>T96-U96</f>
        <v>202500</v>
      </c>
    </row>
    <row r="97" spans="1:22" ht="20.100000000000001" customHeight="1" x14ac:dyDescent="0.25">
      <c r="A97" t="s">
        <v>228</v>
      </c>
      <c r="B97" s="25">
        <v>46176</v>
      </c>
      <c r="C97" t="s">
        <v>207</v>
      </c>
      <c r="D97" t="s">
        <v>61</v>
      </c>
      <c r="E97">
        <v>57</v>
      </c>
      <c r="F97" t="s">
        <v>115</v>
      </c>
      <c r="G97" t="s">
        <v>51</v>
      </c>
      <c r="H97" t="s">
        <v>52</v>
      </c>
      <c r="I97" t="s">
        <v>100</v>
      </c>
      <c r="J97" t="s">
        <v>54</v>
      </c>
      <c r="K97">
        <v>16</v>
      </c>
      <c r="L97">
        <v>1200</v>
      </c>
      <c r="M97">
        <v>0.05</v>
      </c>
      <c r="N97" t="s">
        <v>55</v>
      </c>
      <c r="O97" t="s">
        <v>56</v>
      </c>
      <c r="P97" s="25">
        <v>46179</v>
      </c>
      <c r="Q97">
        <v>5</v>
      </c>
      <c r="R97" t="s">
        <v>76</v>
      </c>
      <c r="S97" t="s">
        <v>58</v>
      </c>
      <c r="T97">
        <f>K97*L97</f>
        <v>19200</v>
      </c>
      <c r="U97">
        <f>T97*M97</f>
        <v>960</v>
      </c>
      <c r="V97">
        <f>T97-U97</f>
        <v>18240</v>
      </c>
    </row>
    <row r="98" spans="1:22" ht="20.100000000000001" customHeight="1" x14ac:dyDescent="0.25">
      <c r="A98" t="s">
        <v>229</v>
      </c>
      <c r="B98" s="25">
        <v>46218</v>
      </c>
      <c r="C98" t="s">
        <v>118</v>
      </c>
      <c r="D98" t="s">
        <v>61</v>
      </c>
      <c r="E98">
        <v>48</v>
      </c>
      <c r="F98" t="s">
        <v>115</v>
      </c>
      <c r="G98" t="s">
        <v>51</v>
      </c>
      <c r="H98" t="s">
        <v>62</v>
      </c>
      <c r="I98" t="s">
        <v>63</v>
      </c>
      <c r="J98" t="s">
        <v>54</v>
      </c>
      <c r="K98">
        <v>21</v>
      </c>
      <c r="L98">
        <v>250</v>
      </c>
      <c r="M98">
        <v>0.2</v>
      </c>
      <c r="N98" t="s">
        <v>55</v>
      </c>
      <c r="O98" t="s">
        <v>56</v>
      </c>
      <c r="P98" s="25">
        <v>46221</v>
      </c>
      <c r="Q98">
        <v>3</v>
      </c>
      <c r="R98" t="s">
        <v>57</v>
      </c>
      <c r="S98" t="s">
        <v>129</v>
      </c>
      <c r="T98">
        <f>K98*L98</f>
        <v>5250</v>
      </c>
      <c r="U98">
        <f>T98*M98</f>
        <v>1050</v>
      </c>
      <c r="V98">
        <f>T98-U98</f>
        <v>4200</v>
      </c>
    </row>
    <row r="99" spans="1:22" ht="20.100000000000001" customHeight="1" x14ac:dyDescent="0.25">
      <c r="A99" t="s">
        <v>230</v>
      </c>
      <c r="B99" s="25">
        <v>46092</v>
      </c>
      <c r="C99" t="s">
        <v>94</v>
      </c>
      <c r="D99" t="s">
        <v>49</v>
      </c>
      <c r="E99">
        <v>42</v>
      </c>
      <c r="F99" t="s">
        <v>200</v>
      </c>
      <c r="G99" t="s">
        <v>51</v>
      </c>
      <c r="H99" t="s">
        <v>52</v>
      </c>
      <c r="I99" t="s">
        <v>100</v>
      </c>
      <c r="J99" t="s">
        <v>82</v>
      </c>
      <c r="K99">
        <v>5</v>
      </c>
      <c r="L99">
        <v>1200</v>
      </c>
      <c r="M99">
        <v>0.2</v>
      </c>
      <c r="N99" t="s">
        <v>92</v>
      </c>
      <c r="O99" t="s">
        <v>56</v>
      </c>
      <c r="P99" s="25">
        <v>46098</v>
      </c>
      <c r="Q99">
        <v>1</v>
      </c>
      <c r="R99" t="s">
        <v>57</v>
      </c>
      <c r="S99" t="s">
        <v>66</v>
      </c>
      <c r="T99">
        <f>K99*L99</f>
        <v>6000</v>
      </c>
      <c r="U99">
        <f>T99*M99</f>
        <v>1200</v>
      </c>
      <c r="V99">
        <f>T99-U99</f>
        <v>4800</v>
      </c>
    </row>
    <row r="100" spans="1:22" ht="20.100000000000001" customHeight="1" x14ac:dyDescent="0.25">
      <c r="A100" t="s">
        <v>231</v>
      </c>
      <c r="B100" s="25">
        <v>46158</v>
      </c>
      <c r="C100" t="s">
        <v>153</v>
      </c>
      <c r="D100" t="s">
        <v>49</v>
      </c>
      <c r="E100">
        <v>50</v>
      </c>
      <c r="F100" t="s">
        <v>200</v>
      </c>
      <c r="G100" t="s">
        <v>51</v>
      </c>
      <c r="H100" t="s">
        <v>52</v>
      </c>
      <c r="I100" t="s">
        <v>109</v>
      </c>
      <c r="J100" t="s">
        <v>97</v>
      </c>
      <c r="K100">
        <v>24</v>
      </c>
      <c r="L100">
        <v>650</v>
      </c>
      <c r="M100">
        <v>0.1</v>
      </c>
      <c r="N100" t="s">
        <v>65</v>
      </c>
      <c r="O100" t="s">
        <v>56</v>
      </c>
      <c r="P100" s="25">
        <v>46160</v>
      </c>
      <c r="Q100">
        <v>1</v>
      </c>
      <c r="R100" t="s">
        <v>57</v>
      </c>
      <c r="S100" t="s">
        <v>129</v>
      </c>
      <c r="T100">
        <f>K100*L100</f>
        <v>15600</v>
      </c>
      <c r="U100">
        <f>T100*M100</f>
        <v>1560</v>
      </c>
      <c r="V100">
        <f>T100-U100</f>
        <v>14040</v>
      </c>
    </row>
    <row r="101" spans="1:22" ht="20.100000000000001" customHeight="1" x14ac:dyDescent="0.25">
      <c r="A101" t="s">
        <v>232</v>
      </c>
      <c r="B101" s="25">
        <v>46216</v>
      </c>
      <c r="C101" t="s">
        <v>141</v>
      </c>
      <c r="D101" t="s">
        <v>61</v>
      </c>
      <c r="E101">
        <v>38</v>
      </c>
      <c r="F101" t="s">
        <v>123</v>
      </c>
      <c r="G101" t="s">
        <v>51</v>
      </c>
      <c r="H101" t="s">
        <v>62</v>
      </c>
      <c r="I101" t="s">
        <v>146</v>
      </c>
      <c r="J101" t="s">
        <v>64</v>
      </c>
      <c r="K101">
        <v>20</v>
      </c>
      <c r="L101">
        <v>1800</v>
      </c>
      <c r="M101">
        <v>0.15</v>
      </c>
      <c r="N101" t="s">
        <v>92</v>
      </c>
      <c r="O101" t="s">
        <v>56</v>
      </c>
      <c r="P101" s="25">
        <v>46221</v>
      </c>
      <c r="Q101">
        <v>5</v>
      </c>
      <c r="R101" t="s">
        <v>57</v>
      </c>
      <c r="S101" t="s">
        <v>101</v>
      </c>
      <c r="T101">
        <f>K101*L101</f>
        <v>36000</v>
      </c>
      <c r="U101">
        <f>T101*M101</f>
        <v>5400</v>
      </c>
      <c r="V101">
        <f>T101-U101</f>
        <v>30600</v>
      </c>
    </row>
  </sheetData>
  <pageMargins left="0.75" right="0.75" top="1" bottom="1" header="0.5" footer="0.5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21"/>
  <sheetViews>
    <sheetView workbookViewId="0"/>
  </sheetViews>
  <sheetFormatPr defaultRowHeight="15" x14ac:dyDescent="0.25"/>
  <cols>
    <col min="1" max="1" width="12" customWidth="1"/>
    <col min="2" max="2" width="29" customWidth="1"/>
    <col min="3" max="3" width="12" customWidth="1"/>
    <col min="4" max="4" width="36" customWidth="1"/>
  </cols>
  <sheetData>
    <row r="2" spans="2:4" ht="25.5" x14ac:dyDescent="0.5">
      <c r="B2" s="1" t="s">
        <v>233</v>
      </c>
    </row>
    <row r="3" spans="2:4" x14ac:dyDescent="0.25">
      <c r="B3" s="5" t="s">
        <v>234</v>
      </c>
    </row>
    <row r="5" spans="2:4" ht="16.5" x14ac:dyDescent="0.25">
      <c r="B5" s="6" t="s">
        <v>235</v>
      </c>
      <c r="C5" s="7"/>
      <c r="D5" s="5" t="s">
        <v>236</v>
      </c>
    </row>
    <row r="6" spans="2:4" ht="16.5" x14ac:dyDescent="0.25">
      <c r="B6" s="6" t="s">
        <v>237</v>
      </c>
      <c r="C6" s="7"/>
      <c r="D6" s="5" t="s">
        <v>238</v>
      </c>
    </row>
    <row r="7" spans="2:4" ht="16.5" x14ac:dyDescent="0.25">
      <c r="B7" s="6" t="s">
        <v>239</v>
      </c>
      <c r="C7" s="7"/>
      <c r="D7" s="5" t="s">
        <v>240</v>
      </c>
    </row>
    <row r="8" spans="2:4" ht="16.5" x14ac:dyDescent="0.25">
      <c r="B8" s="6" t="s">
        <v>28</v>
      </c>
      <c r="C8" s="7"/>
      <c r="D8" s="5" t="s">
        <v>241</v>
      </c>
    </row>
    <row r="9" spans="2:4" ht="16.5" x14ac:dyDescent="0.25">
      <c r="B9" s="6" t="s">
        <v>29</v>
      </c>
      <c r="C9" s="7"/>
      <c r="D9" s="5" t="s">
        <v>242</v>
      </c>
    </row>
    <row r="10" spans="2:4" ht="16.5" x14ac:dyDescent="0.25">
      <c r="B10" s="6" t="s">
        <v>30</v>
      </c>
      <c r="C10" s="7"/>
      <c r="D10" s="5" t="s">
        <v>243</v>
      </c>
    </row>
    <row r="11" spans="2:4" ht="16.5" x14ac:dyDescent="0.25">
      <c r="B11" s="6" t="s">
        <v>31</v>
      </c>
      <c r="C11" s="7"/>
      <c r="D11" s="5" t="s">
        <v>244</v>
      </c>
    </row>
    <row r="12" spans="2:4" ht="16.5" x14ac:dyDescent="0.25">
      <c r="B12" s="6" t="s">
        <v>245</v>
      </c>
      <c r="C12" s="7"/>
      <c r="D12" s="5" t="s">
        <v>246</v>
      </c>
    </row>
    <row r="13" spans="2:4" ht="16.5" x14ac:dyDescent="0.25">
      <c r="B13" s="6" t="s">
        <v>33</v>
      </c>
      <c r="C13" s="7"/>
      <c r="D13" s="5" t="s">
        <v>247</v>
      </c>
    </row>
    <row r="14" spans="2:4" ht="16.5" x14ac:dyDescent="0.25">
      <c r="B14" s="6" t="s">
        <v>34</v>
      </c>
      <c r="C14" s="7"/>
      <c r="D14" s="5" t="s">
        <v>248</v>
      </c>
    </row>
    <row r="15" spans="2:4" ht="16.5" x14ac:dyDescent="0.25">
      <c r="B15" s="6" t="s">
        <v>35</v>
      </c>
      <c r="C15" s="7"/>
      <c r="D15" s="5" t="s">
        <v>249</v>
      </c>
    </row>
    <row r="16" spans="2:4" ht="16.5" x14ac:dyDescent="0.25">
      <c r="B16" s="6" t="s">
        <v>250</v>
      </c>
      <c r="C16" s="7"/>
      <c r="D16" s="5" t="s">
        <v>251</v>
      </c>
    </row>
    <row r="17" spans="2:4" ht="16.5" x14ac:dyDescent="0.25">
      <c r="B17" s="6" t="s">
        <v>252</v>
      </c>
      <c r="C17" s="7"/>
      <c r="D17" s="5" t="s">
        <v>253</v>
      </c>
    </row>
    <row r="18" spans="2:4" ht="16.5" x14ac:dyDescent="0.25">
      <c r="B18" s="6" t="s">
        <v>254</v>
      </c>
      <c r="C18" s="7"/>
      <c r="D18" s="5" t="s">
        <v>255</v>
      </c>
    </row>
    <row r="19" spans="2:4" ht="16.5" x14ac:dyDescent="0.25">
      <c r="B19" s="6" t="s">
        <v>256</v>
      </c>
      <c r="C19" s="7"/>
      <c r="D19" s="5" t="s">
        <v>257</v>
      </c>
    </row>
    <row r="20" spans="2:4" ht="16.5" x14ac:dyDescent="0.25">
      <c r="B20" s="6" t="s">
        <v>258</v>
      </c>
      <c r="C20" s="7"/>
      <c r="D20" s="5" t="s">
        <v>259</v>
      </c>
    </row>
    <row r="21" spans="2:4" ht="16.5" x14ac:dyDescent="0.25">
      <c r="B21" s="6" t="s">
        <v>41</v>
      </c>
      <c r="C21" s="7"/>
      <c r="D21" s="5" t="s">
        <v>260</v>
      </c>
    </row>
  </sheetData>
  <dataValidations count="7">
    <dataValidation type="list" allowBlank="1" errorTitle="Invalid Input" error="Your entry is not in the list" promptTitle="Gender" prompt="Please select from the list" sqref="C8" xr:uid="{00000000-0002-0000-0200-000000000000}">
      <formula1>"Male,Female"</formula1>
    </dataValidation>
    <dataValidation type="list" allowBlank="1" sqref="C18" xr:uid="{00000000-0002-0000-0200-000001000000}">
      <formula1>"Cash,UPI,Credit Card,Debit Card,Net Banking"</formula1>
    </dataValidation>
    <dataValidation type="list" allowBlank="1" sqref="C19" xr:uid="{00000000-0002-0000-0200-000002000000}">
      <formula1>"Completed,Pending,Cancelled"</formula1>
    </dataValidation>
    <dataValidation type="list" allowBlank="1" sqref="C20" xr:uid="{00000000-0002-0000-0200-000003000000}">
      <formula1>"New,Returning"</formula1>
    </dataValidation>
    <dataValidation type="whole" errorTitle="Invalid Quantity" error="Quantity must be between 1 and 100" sqref="C15" xr:uid="{00000000-0002-0000-0200-000004000000}">
      <formula1>1</formula1>
      <formula2>100</formula2>
    </dataValidation>
    <dataValidation type="decimal" errorTitle="Invalid Discount" error="Discount must be between 0% and 50%" sqref="C17" xr:uid="{00000000-0002-0000-0200-000005000000}">
      <formula1>0</formula1>
      <formula2>0.5</formula2>
    </dataValidation>
    <dataValidation type="whole" errorTitle="Invalid Rating" error="Rating must be an integer between 1 and 5" sqref="C21" xr:uid="{00000000-0002-0000-0200-000006000000}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>
      <selection activeCell="C20" sqref="C20"/>
    </sheetView>
  </sheetViews>
  <sheetFormatPr defaultRowHeight="15" x14ac:dyDescent="0.25"/>
  <cols>
    <col min="1" max="1" width="37" customWidth="1"/>
    <col min="2" max="2" width="12" customWidth="1"/>
    <col min="3" max="3" width="27" customWidth="1"/>
    <col min="4" max="4" width="12" customWidth="1"/>
    <col min="5" max="5" width="26" customWidth="1"/>
    <col min="6" max="6" width="12" customWidth="1"/>
    <col min="7" max="7" width="21" customWidth="1"/>
    <col min="8" max="8" width="12" customWidth="1"/>
    <col min="9" max="9" width="18" customWidth="1"/>
    <col min="10" max="10" width="12" customWidth="1"/>
    <col min="11" max="11" width="16" customWidth="1"/>
    <col min="12" max="12" width="12" customWidth="1"/>
    <col min="13" max="13" width="21" customWidth="1"/>
    <col min="14" max="14" width="12" customWidth="1"/>
    <col min="15" max="15" width="22" customWidth="1"/>
  </cols>
  <sheetData>
    <row r="1" spans="1:15" ht="25.5" x14ac:dyDescent="0.5">
      <c r="A1" s="1" t="s">
        <v>261</v>
      </c>
    </row>
    <row r="3" spans="1:15" ht="16.5" x14ac:dyDescent="0.25">
      <c r="A3" s="8" t="s">
        <v>262</v>
      </c>
      <c r="C3" s="8" t="s">
        <v>263</v>
      </c>
      <c r="E3" s="8" t="s">
        <v>264</v>
      </c>
      <c r="G3" s="8" t="s">
        <v>265</v>
      </c>
      <c r="I3" s="8" t="s">
        <v>266</v>
      </c>
      <c r="K3" s="8" t="s">
        <v>267</v>
      </c>
      <c r="M3" s="8" t="s">
        <v>268</v>
      </c>
      <c r="O3" s="8" t="s">
        <v>269</v>
      </c>
    </row>
    <row r="4" spans="1:15" x14ac:dyDescent="0.25">
      <c r="A4" s="9"/>
      <c r="C4" s="9"/>
      <c r="E4" s="9"/>
      <c r="G4" s="10"/>
      <c r="I4" s="9"/>
      <c r="K4" s="9"/>
      <c r="M4" s="11"/>
      <c r="O4" s="9"/>
    </row>
    <row r="5" spans="1:15" x14ac:dyDescent="0.25">
      <c r="A5" s="9"/>
      <c r="C5" s="9"/>
      <c r="E5" s="9"/>
      <c r="G5" s="10"/>
      <c r="I5" s="9"/>
      <c r="K5" s="9"/>
      <c r="M5" s="11"/>
      <c r="O5" s="9"/>
    </row>
    <row r="6" spans="1:15" x14ac:dyDescent="0.25">
      <c r="A6" s="9"/>
      <c r="C6" s="9"/>
      <c r="E6" s="9"/>
      <c r="G6" s="10"/>
      <c r="I6" s="9"/>
      <c r="K6" s="9"/>
      <c r="M6" s="11"/>
      <c r="O6" s="9"/>
    </row>
    <row r="7" spans="1:15" x14ac:dyDescent="0.25">
      <c r="A7" s="9"/>
      <c r="C7" s="9"/>
      <c r="E7" s="9"/>
      <c r="G7" s="10"/>
      <c r="I7" s="9"/>
      <c r="K7" s="9"/>
      <c r="M7" s="11"/>
      <c r="O7" s="9"/>
    </row>
    <row r="8" spans="1:15" x14ac:dyDescent="0.25">
      <c r="A8" s="9"/>
      <c r="C8" s="9"/>
      <c r="E8" s="9"/>
      <c r="G8" s="10"/>
      <c r="I8" s="9"/>
      <c r="K8" s="9"/>
      <c r="M8" s="11"/>
      <c r="O8" s="9"/>
    </row>
    <row r="9" spans="1:15" x14ac:dyDescent="0.25">
      <c r="A9" s="9"/>
      <c r="C9" s="9"/>
      <c r="E9" s="9"/>
      <c r="G9" s="10"/>
      <c r="I9" s="9"/>
      <c r="K9" s="9"/>
      <c r="M9" s="11"/>
      <c r="O9" s="9"/>
    </row>
    <row r="10" spans="1:15" x14ac:dyDescent="0.25">
      <c r="A10" s="9"/>
      <c r="C10" s="9"/>
      <c r="E10" s="9"/>
      <c r="G10" s="10"/>
      <c r="I10" s="9"/>
      <c r="K10" s="9"/>
      <c r="M10" s="11"/>
      <c r="O10" s="9"/>
    </row>
    <row r="11" spans="1:15" x14ac:dyDescent="0.25">
      <c r="A11" s="9"/>
      <c r="C11" s="9"/>
      <c r="E11" s="9"/>
      <c r="G11" s="10"/>
      <c r="I11" s="9"/>
      <c r="K11" s="9"/>
      <c r="M11" s="11"/>
      <c r="O11" s="9"/>
    </row>
    <row r="12" spans="1:15" x14ac:dyDescent="0.25">
      <c r="A12" s="9"/>
      <c r="C12" s="9"/>
      <c r="E12" s="9"/>
      <c r="G12" s="10"/>
      <c r="I12" s="9"/>
      <c r="K12" s="9"/>
      <c r="M12" s="11"/>
      <c r="O12" s="9"/>
    </row>
    <row r="13" spans="1:15" x14ac:dyDescent="0.25">
      <c r="A13" s="9"/>
      <c r="C13" s="9"/>
      <c r="E13" s="9"/>
      <c r="G13" s="10"/>
      <c r="I13" s="9"/>
      <c r="K13" s="9"/>
      <c r="M13" s="11"/>
      <c r="O13" s="9"/>
    </row>
    <row r="14" spans="1:15" x14ac:dyDescent="0.25">
      <c r="A14" s="9"/>
      <c r="C14" s="9"/>
      <c r="E14" s="9"/>
      <c r="G14" s="10"/>
      <c r="I14" s="9"/>
      <c r="K14" s="9"/>
      <c r="M14" s="11"/>
      <c r="O14" s="9"/>
    </row>
    <row r="15" spans="1:15" x14ac:dyDescent="0.25">
      <c r="A15" s="9"/>
      <c r="C15" s="9"/>
      <c r="E15" s="9"/>
      <c r="G15" s="10"/>
      <c r="I15" s="9"/>
      <c r="K15" s="9"/>
      <c r="M15" s="11"/>
      <c r="O15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zoomScaleNormal="100" workbookViewId="0">
      <selection activeCell="D19" sqref="D19"/>
    </sheetView>
  </sheetViews>
  <sheetFormatPr defaultRowHeight="15" x14ac:dyDescent="0.25"/>
  <cols>
    <col min="1" max="1" width="68.85546875" bestFit="1" customWidth="1"/>
    <col min="2" max="3" width="17.5703125" bestFit="1" customWidth="1"/>
    <col min="4" max="4" width="36" customWidth="1"/>
    <col min="5" max="5" width="25.5703125" bestFit="1" customWidth="1"/>
    <col min="6" max="6" width="19.7109375" bestFit="1" customWidth="1"/>
  </cols>
  <sheetData>
    <row r="1" spans="1:6" ht="25.5" x14ac:dyDescent="0.5">
      <c r="A1" s="1" t="s">
        <v>270</v>
      </c>
    </row>
    <row r="3" spans="1:6" ht="18.75" x14ac:dyDescent="0.35">
      <c r="A3" s="2" t="s">
        <v>271</v>
      </c>
      <c r="D3" s="2" t="s">
        <v>272</v>
      </c>
    </row>
    <row r="4" spans="1:6" ht="16.5" x14ac:dyDescent="0.3">
      <c r="A4" s="12" t="s">
        <v>273</v>
      </c>
      <c r="B4" s="12" t="s">
        <v>274</v>
      </c>
      <c r="D4" s="12" t="s">
        <v>256</v>
      </c>
      <c r="E4" s="12" t="s">
        <v>275</v>
      </c>
      <c r="F4" s="12" t="s">
        <v>276</v>
      </c>
    </row>
    <row r="5" spans="1:6" ht="16.5" x14ac:dyDescent="0.3">
      <c r="A5" s="13" t="s">
        <v>277</v>
      </c>
      <c r="B5" s="14"/>
      <c r="D5" s="13" t="s">
        <v>56</v>
      </c>
      <c r="E5" s="15"/>
      <c r="F5" s="16"/>
    </row>
    <row r="6" spans="1:6" ht="16.5" x14ac:dyDescent="0.3">
      <c r="A6" s="13" t="s">
        <v>278</v>
      </c>
      <c r="B6" s="16"/>
      <c r="D6" s="13" t="s">
        <v>75</v>
      </c>
      <c r="E6" s="15"/>
      <c r="F6" s="16"/>
    </row>
    <row r="7" spans="1:6" ht="16.5" x14ac:dyDescent="0.3">
      <c r="A7" s="13" t="s">
        <v>279</v>
      </c>
      <c r="B7" s="16"/>
      <c r="D7" s="13" t="s">
        <v>125</v>
      </c>
      <c r="E7" s="15"/>
      <c r="F7" s="16"/>
    </row>
    <row r="8" spans="1:6" ht="16.5" x14ac:dyDescent="0.3">
      <c r="A8" s="13" t="s">
        <v>280</v>
      </c>
      <c r="B8" s="16"/>
    </row>
    <row r="9" spans="1:6" ht="16.5" x14ac:dyDescent="0.3">
      <c r="A9" s="13" t="s">
        <v>281</v>
      </c>
      <c r="B9" s="16"/>
    </row>
    <row r="10" spans="1:6" ht="18.75" x14ac:dyDescent="0.35">
      <c r="A10" s="13" t="s">
        <v>282</v>
      </c>
      <c r="B10" s="16"/>
      <c r="D10" s="2" t="s">
        <v>283</v>
      </c>
    </row>
    <row r="11" spans="1:6" ht="16.5" x14ac:dyDescent="0.3">
      <c r="A11" s="13" t="s">
        <v>284</v>
      </c>
      <c r="B11" s="16"/>
      <c r="D11" s="12" t="s">
        <v>285</v>
      </c>
      <c r="E11" s="12" t="s">
        <v>286</v>
      </c>
      <c r="F11" s="12" t="s">
        <v>287</v>
      </c>
    </row>
    <row r="12" spans="1:6" ht="16.5" x14ac:dyDescent="0.3">
      <c r="A12" s="13" t="s">
        <v>288</v>
      </c>
      <c r="B12" s="17"/>
      <c r="D12" s="13" t="s">
        <v>52</v>
      </c>
      <c r="E12" s="16"/>
      <c r="F12" s="18"/>
    </row>
    <row r="13" spans="1:6" ht="16.5" x14ac:dyDescent="0.3">
      <c r="A13" s="13" t="s">
        <v>289</v>
      </c>
      <c r="B13" s="19"/>
      <c r="D13" s="13" t="s">
        <v>71</v>
      </c>
      <c r="E13" s="16"/>
      <c r="F13" s="18"/>
    </row>
    <row r="14" spans="1:6" ht="16.5" x14ac:dyDescent="0.3">
      <c r="D14" s="13" t="s">
        <v>62</v>
      </c>
      <c r="E14" s="16"/>
      <c r="F14" s="18"/>
    </row>
    <row r="18" spans="1:3" ht="18.75" x14ac:dyDescent="0.35">
      <c r="A18" s="26" t="s">
        <v>332</v>
      </c>
      <c r="B18" s="2"/>
      <c r="C18" s="2"/>
    </row>
    <row r="19" spans="1:3" ht="16.5" x14ac:dyDescent="0.3">
      <c r="A19" s="12" t="s">
        <v>273</v>
      </c>
      <c r="B19" s="12" t="s">
        <v>274</v>
      </c>
      <c r="C19" s="12" t="s">
        <v>274</v>
      </c>
    </row>
    <row r="20" spans="1:3" ht="16.5" x14ac:dyDescent="0.3">
      <c r="A20" s="13" t="s">
        <v>329</v>
      </c>
      <c r="B20" s="16"/>
    </row>
    <row r="21" spans="1:3" ht="16.5" x14ac:dyDescent="0.3">
      <c r="A21" s="13" t="s">
        <v>330</v>
      </c>
      <c r="B21" s="19"/>
      <c r="C21" s="19"/>
    </row>
    <row r="22" spans="1:3" ht="16.5" x14ac:dyDescent="0.3">
      <c r="A22" s="13" t="s">
        <v>331</v>
      </c>
      <c r="B22" s="2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workbookViewId="0">
      <selection activeCell="C27" sqref="C27"/>
    </sheetView>
  </sheetViews>
  <sheetFormatPr defaultRowHeight="15" x14ac:dyDescent="0.25"/>
  <cols>
    <col min="1" max="1" width="35" customWidth="1"/>
    <col min="2" max="3" width="19" customWidth="1"/>
    <col min="4" max="4" width="14" customWidth="1"/>
    <col min="5" max="5" width="15" customWidth="1"/>
    <col min="6" max="6" width="13" customWidth="1"/>
    <col min="7" max="7" width="22" customWidth="1"/>
    <col min="8" max="8" width="17" customWidth="1"/>
    <col min="9" max="9" width="26" customWidth="1"/>
    <col min="10" max="10" width="21" customWidth="1"/>
  </cols>
  <sheetData>
    <row r="1" spans="1:10" ht="25.5" x14ac:dyDescent="0.5">
      <c r="A1" s="1" t="s">
        <v>290</v>
      </c>
    </row>
    <row r="3" spans="1:10" ht="24.95" customHeight="1" x14ac:dyDescent="0.25">
      <c r="A3" s="8" t="s">
        <v>25</v>
      </c>
      <c r="B3" s="8" t="s">
        <v>26</v>
      </c>
      <c r="C3" s="8" t="s">
        <v>40</v>
      </c>
      <c r="D3" s="8" t="s">
        <v>291</v>
      </c>
      <c r="E3" s="8" t="s">
        <v>292</v>
      </c>
      <c r="F3" s="8" t="s">
        <v>293</v>
      </c>
      <c r="G3" s="8" t="s">
        <v>294</v>
      </c>
      <c r="H3" s="8" t="s">
        <v>295</v>
      </c>
      <c r="I3" s="8" t="s">
        <v>296</v>
      </c>
      <c r="J3" s="8" t="s">
        <v>297</v>
      </c>
    </row>
    <row r="4" spans="1:10" x14ac:dyDescent="0.25">
      <c r="A4" s="9" t="str">
        <f>Sales_Data!A2</f>
        <v>ORD-1001</v>
      </c>
      <c r="B4" s="10">
        <f>Sales_Data!B2</f>
        <v>46186</v>
      </c>
      <c r="C4" s="10">
        <f>Sales_Data!P2</f>
        <v>46187</v>
      </c>
      <c r="D4" s="9"/>
      <c r="E4" s="9"/>
      <c r="F4" s="9"/>
      <c r="G4" s="9"/>
      <c r="H4" s="9"/>
      <c r="I4" s="20"/>
      <c r="J4" s="10"/>
    </row>
    <row r="5" spans="1:10" x14ac:dyDescent="0.25">
      <c r="A5" s="9" t="str">
        <f>Sales_Data!A3</f>
        <v>ORD-1002</v>
      </c>
      <c r="B5" s="10">
        <f>Sales_Data!B3</f>
        <v>46078</v>
      </c>
      <c r="C5" s="10">
        <f>Sales_Data!P3</f>
        <v>46080</v>
      </c>
      <c r="D5" s="9"/>
      <c r="E5" s="9"/>
      <c r="F5" s="9"/>
      <c r="G5" s="9"/>
      <c r="H5" s="9"/>
      <c r="I5" s="20"/>
      <c r="J5" s="10"/>
    </row>
    <row r="6" spans="1:10" x14ac:dyDescent="0.25">
      <c r="A6" s="9" t="str">
        <f>Sales_Data!A4</f>
        <v>ORD-1003</v>
      </c>
      <c r="B6" s="10">
        <f>Sales_Data!B4</f>
        <v>46131</v>
      </c>
      <c r="C6" s="10">
        <f>Sales_Data!P4</f>
        <v>46134</v>
      </c>
      <c r="D6" s="9"/>
      <c r="E6" s="9"/>
      <c r="F6" s="9"/>
      <c r="G6" s="9"/>
      <c r="H6" s="9"/>
      <c r="I6" s="20"/>
      <c r="J6" s="10"/>
    </row>
    <row r="7" spans="1:10" x14ac:dyDescent="0.25">
      <c r="A7" s="9" t="str">
        <f>Sales_Data!A5</f>
        <v>ORD-1004</v>
      </c>
      <c r="B7" s="10">
        <f>Sales_Data!B5</f>
        <v>46034</v>
      </c>
      <c r="C7" s="10">
        <f>Sales_Data!P5</f>
        <v>46040</v>
      </c>
      <c r="D7" s="9"/>
      <c r="E7" s="9"/>
      <c r="F7" s="9"/>
      <c r="G7" s="9"/>
      <c r="H7" s="9"/>
      <c r="I7" s="20"/>
      <c r="J7" s="10"/>
    </row>
    <row r="8" spans="1:10" x14ac:dyDescent="0.25">
      <c r="A8" s="9" t="str">
        <f>Sales_Data!A6</f>
        <v>ORD-1005</v>
      </c>
      <c r="B8" s="10">
        <f>Sales_Data!B6</f>
        <v>46081</v>
      </c>
      <c r="C8" s="10">
        <f>Sales_Data!P6</f>
        <v>46088</v>
      </c>
      <c r="D8" s="9"/>
      <c r="E8" s="9"/>
      <c r="F8" s="9"/>
      <c r="G8" s="9"/>
      <c r="H8" s="9"/>
      <c r="I8" s="20"/>
      <c r="J8" s="10"/>
    </row>
    <row r="9" spans="1:10" x14ac:dyDescent="0.25">
      <c r="A9" s="9" t="str">
        <f>Sales_Data!A7</f>
        <v>ORD-1006</v>
      </c>
      <c r="B9" s="10">
        <f>Sales_Data!B7</f>
        <v>46262</v>
      </c>
      <c r="C9" s="10">
        <f>Sales_Data!P7</f>
        <v>46268</v>
      </c>
      <c r="D9" s="9"/>
      <c r="E9" s="9"/>
      <c r="F9" s="9"/>
      <c r="G9" s="9"/>
      <c r="H9" s="9"/>
      <c r="I9" s="20"/>
      <c r="J9" s="10"/>
    </row>
    <row r="10" spans="1:10" x14ac:dyDescent="0.25">
      <c r="A10" s="9" t="str">
        <f>Sales_Data!A8</f>
        <v>ORD-1007</v>
      </c>
      <c r="B10" s="10">
        <f>Sales_Data!B8</f>
        <v>46106</v>
      </c>
      <c r="C10" s="10">
        <f>Sales_Data!P8</f>
        <v>46113</v>
      </c>
      <c r="D10" s="9"/>
      <c r="E10" s="9"/>
      <c r="F10" s="9"/>
      <c r="G10" s="9"/>
      <c r="H10" s="9"/>
      <c r="I10" s="20"/>
      <c r="J10" s="10"/>
    </row>
    <row r="11" spans="1:10" x14ac:dyDescent="0.25">
      <c r="A11" s="9" t="str">
        <f>Sales_Data!A9</f>
        <v>ORD-1008</v>
      </c>
      <c r="B11" s="10">
        <f>Sales_Data!B9</f>
        <v>46150</v>
      </c>
      <c r="C11" s="10">
        <f>Sales_Data!P9</f>
        <v>46154</v>
      </c>
      <c r="D11" s="9"/>
      <c r="E11" s="9"/>
      <c r="F11" s="9"/>
      <c r="G11" s="9"/>
      <c r="H11" s="9"/>
      <c r="I11" s="20"/>
      <c r="J11" s="10"/>
    </row>
    <row r="12" spans="1:10" x14ac:dyDescent="0.25">
      <c r="A12" s="9" t="str">
        <f>Sales_Data!A10</f>
        <v>ORD-1009</v>
      </c>
      <c r="B12" s="10">
        <f>Sales_Data!B10</f>
        <v>46079</v>
      </c>
      <c r="C12" s="10">
        <f>Sales_Data!P10</f>
        <v>46081</v>
      </c>
      <c r="D12" s="9"/>
      <c r="E12" s="9"/>
      <c r="F12" s="9"/>
      <c r="G12" s="9"/>
      <c r="H12" s="9"/>
      <c r="I12" s="20"/>
      <c r="J12" s="10"/>
    </row>
    <row r="13" spans="1:10" x14ac:dyDescent="0.25">
      <c r="A13" s="9" t="str">
        <f>Sales_Data!A11</f>
        <v>ORD-1010</v>
      </c>
      <c r="B13" s="10">
        <f>Sales_Data!B11</f>
        <v>46142</v>
      </c>
      <c r="C13" s="10">
        <f>Sales_Data!P11</f>
        <v>46147</v>
      </c>
      <c r="D13" s="9"/>
      <c r="E13" s="9"/>
      <c r="F13" s="9"/>
      <c r="G13" s="9"/>
      <c r="H13" s="9"/>
      <c r="I13" s="20"/>
      <c r="J13" s="10"/>
    </row>
    <row r="14" spans="1:10" x14ac:dyDescent="0.25">
      <c r="A14" s="9" t="str">
        <f>Sales_Data!A12</f>
        <v>ORD-1011</v>
      </c>
      <c r="B14" s="10">
        <f>Sales_Data!B12</f>
        <v>46207</v>
      </c>
      <c r="C14" s="10">
        <f>Sales_Data!P12</f>
        <v>46213</v>
      </c>
      <c r="D14" s="9"/>
      <c r="E14" s="9"/>
      <c r="F14" s="9"/>
      <c r="G14" s="9"/>
      <c r="H14" s="9"/>
      <c r="I14" s="20"/>
      <c r="J14" s="10"/>
    </row>
    <row r="15" spans="1:10" x14ac:dyDescent="0.25">
      <c r="A15" s="9" t="str">
        <f>Sales_Data!A13</f>
        <v>ORD-1012</v>
      </c>
      <c r="B15" s="10">
        <f>Sales_Data!B13</f>
        <v>46222</v>
      </c>
      <c r="C15" s="10">
        <f>Sales_Data!P13</f>
        <v>46227</v>
      </c>
      <c r="D15" s="9"/>
      <c r="E15" s="9"/>
      <c r="F15" s="9"/>
      <c r="G15" s="9"/>
      <c r="H15" s="9"/>
      <c r="I15" s="20"/>
      <c r="J15" s="10"/>
    </row>
    <row r="16" spans="1:10" x14ac:dyDescent="0.25">
      <c r="A16" s="9" t="str">
        <f>Sales_Data!A14</f>
        <v>ORD-1013</v>
      </c>
      <c r="B16" s="10">
        <f>Sales_Data!B14</f>
        <v>46210</v>
      </c>
      <c r="C16" s="10">
        <f>Sales_Data!P14</f>
        <v>46214</v>
      </c>
      <c r="D16" s="9"/>
      <c r="E16" s="9"/>
      <c r="F16" s="9"/>
      <c r="G16" s="9"/>
      <c r="H16" s="9"/>
      <c r="I16" s="20"/>
      <c r="J16" s="10"/>
    </row>
    <row r="17" spans="1:10" x14ac:dyDescent="0.25">
      <c r="A17" s="9" t="str">
        <f>Sales_Data!A15</f>
        <v>ORD-1014</v>
      </c>
      <c r="B17" s="10">
        <f>Sales_Data!B15</f>
        <v>46102</v>
      </c>
      <c r="C17" s="10">
        <f>Sales_Data!P15</f>
        <v>46106</v>
      </c>
      <c r="D17" s="9"/>
      <c r="E17" s="9"/>
      <c r="F17" s="9"/>
      <c r="G17" s="9"/>
      <c r="H17" s="9"/>
      <c r="I17" s="20"/>
      <c r="J17" s="10"/>
    </row>
    <row r="18" spans="1:10" x14ac:dyDescent="0.25">
      <c r="A18" s="9" t="str">
        <f>Sales_Data!A16</f>
        <v>ORD-1015</v>
      </c>
      <c r="B18" s="10">
        <f>Sales_Data!B16</f>
        <v>46079</v>
      </c>
      <c r="C18" s="10">
        <f>Sales_Data!P16</f>
        <v>46080</v>
      </c>
      <c r="D18" s="9"/>
      <c r="E18" s="9"/>
      <c r="F18" s="9"/>
      <c r="G18" s="9"/>
      <c r="H18" s="9"/>
      <c r="I18" s="20"/>
      <c r="J18" s="10"/>
    </row>
    <row r="19" spans="1:10" x14ac:dyDescent="0.25">
      <c r="A19" s="9" t="str">
        <f>Sales_Data!A17</f>
        <v>ORD-1016</v>
      </c>
      <c r="B19" s="10">
        <f>Sales_Data!B17</f>
        <v>46262</v>
      </c>
      <c r="C19" s="10">
        <f>Sales_Data!P17</f>
        <v>46267</v>
      </c>
      <c r="D19" s="9"/>
      <c r="E19" s="9"/>
      <c r="F19" s="9"/>
      <c r="G19" s="9"/>
      <c r="H19" s="9"/>
      <c r="I19" s="20"/>
      <c r="J19" s="10"/>
    </row>
    <row r="20" spans="1:10" x14ac:dyDescent="0.25">
      <c r="A20" s="9" t="str">
        <f>Sales_Data!A18</f>
        <v>ORD-1017</v>
      </c>
      <c r="B20" s="10">
        <f>Sales_Data!B18</f>
        <v>46209</v>
      </c>
      <c r="C20" s="10">
        <f>Sales_Data!P18</f>
        <v>46210</v>
      </c>
      <c r="D20" s="9"/>
      <c r="E20" s="9"/>
      <c r="F20" s="9"/>
      <c r="G20" s="9"/>
      <c r="H20" s="9"/>
      <c r="I20" s="20"/>
      <c r="J20" s="10"/>
    </row>
    <row r="21" spans="1:10" x14ac:dyDescent="0.25">
      <c r="A21" s="9" t="str">
        <f>Sales_Data!A19</f>
        <v>ORD-1018</v>
      </c>
      <c r="B21" s="10">
        <f>Sales_Data!B19</f>
        <v>46069</v>
      </c>
      <c r="C21" s="10">
        <f>Sales_Data!P19</f>
        <v>46072</v>
      </c>
      <c r="D21" s="9"/>
      <c r="E21" s="9"/>
      <c r="F21" s="9"/>
      <c r="G21" s="9"/>
      <c r="H21" s="9"/>
      <c r="I21" s="20"/>
      <c r="J21" s="10"/>
    </row>
    <row r="22" spans="1:10" x14ac:dyDescent="0.25">
      <c r="A22" s="9" t="str">
        <f>Sales_Data!A20</f>
        <v>ORD-1019</v>
      </c>
      <c r="B22" s="10">
        <f>Sales_Data!B20</f>
        <v>46147</v>
      </c>
      <c r="C22" s="10">
        <f>Sales_Data!P20</f>
        <v>46151</v>
      </c>
      <c r="D22" s="9"/>
      <c r="E22" s="9"/>
      <c r="F22" s="9"/>
      <c r="G22" s="9"/>
      <c r="H22" s="9"/>
      <c r="I22" s="20"/>
      <c r="J22" s="10"/>
    </row>
    <row r="23" spans="1:10" x14ac:dyDescent="0.25">
      <c r="A23" s="9" t="str">
        <f>Sales_Data!A21</f>
        <v>ORD-1020</v>
      </c>
      <c r="B23" s="10">
        <f>Sales_Data!B21</f>
        <v>46071</v>
      </c>
      <c r="C23" s="10">
        <f>Sales_Data!P21</f>
        <v>46074</v>
      </c>
      <c r="D23" s="9"/>
      <c r="E23" s="9"/>
      <c r="F23" s="9"/>
      <c r="G23" s="9"/>
      <c r="H23" s="9"/>
      <c r="I23" s="20"/>
      <c r="J23" s="1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workbookViewId="0">
      <selection activeCell="H4" sqref="H4"/>
    </sheetView>
  </sheetViews>
  <sheetFormatPr defaultRowHeight="15" x14ac:dyDescent="0.25"/>
  <cols>
    <col min="1" max="1" width="44" customWidth="1"/>
    <col min="2" max="2" width="28" customWidth="1"/>
    <col min="3" max="3" width="21" customWidth="1"/>
    <col min="4" max="4" width="28" customWidth="1"/>
    <col min="5" max="5" width="29" customWidth="1"/>
    <col min="6" max="7" width="19" customWidth="1"/>
    <col min="8" max="8" width="35" customWidth="1"/>
  </cols>
  <sheetData>
    <row r="1" spans="1:8" ht="25.5" x14ac:dyDescent="0.5">
      <c r="A1" s="1" t="s">
        <v>298</v>
      </c>
    </row>
    <row r="3" spans="1:8" ht="24.95" customHeight="1" x14ac:dyDescent="0.25">
      <c r="A3" s="8" t="s">
        <v>299</v>
      </c>
      <c r="B3" s="8" t="s">
        <v>300</v>
      </c>
      <c r="C3" s="8" t="s">
        <v>301</v>
      </c>
      <c r="D3" s="8" t="s">
        <v>302</v>
      </c>
      <c r="E3" s="8" t="s">
        <v>303</v>
      </c>
      <c r="F3" s="8" t="s">
        <v>30</v>
      </c>
      <c r="G3" s="8" t="s">
        <v>31</v>
      </c>
      <c r="H3" s="8" t="s">
        <v>304</v>
      </c>
    </row>
    <row r="4" spans="1:8" x14ac:dyDescent="0.25">
      <c r="A4" t="str">
        <f>Sales_Data!C2</f>
        <v>Aarav Shah</v>
      </c>
      <c r="C4" s="9"/>
      <c r="D4" s="9"/>
      <c r="E4" s="9"/>
      <c r="F4" t="str">
        <f>Sales_Data!F2</f>
        <v>Pune</v>
      </c>
      <c r="G4" t="str">
        <f>Sales_Data!G2</f>
        <v>Maharashtra</v>
      </c>
    </row>
    <row r="5" spans="1:8" x14ac:dyDescent="0.25">
      <c r="A5" t="str">
        <f>Sales_Data!C3</f>
        <v>Vivaan Gaikwad</v>
      </c>
      <c r="C5" s="9"/>
      <c r="D5" s="9"/>
      <c r="E5" s="9"/>
      <c r="F5" t="str">
        <f>Sales_Data!F3</f>
        <v>Pune</v>
      </c>
      <c r="G5" t="str">
        <f>Sales_Data!G3</f>
        <v>Maharashtra</v>
      </c>
    </row>
    <row r="6" spans="1:8" x14ac:dyDescent="0.25">
      <c r="A6" t="str">
        <f>Sales_Data!C4</f>
        <v>Arjun Nair</v>
      </c>
      <c r="C6" s="9"/>
      <c r="D6" s="9"/>
      <c r="E6" s="9"/>
      <c r="F6" t="str">
        <f>Sales_Data!F4</f>
        <v>Chennai</v>
      </c>
      <c r="G6" t="str">
        <f>Sales_Data!G4</f>
        <v>Tamil Nadu</v>
      </c>
    </row>
    <row r="7" spans="1:8" x14ac:dyDescent="0.25">
      <c r="A7" t="str">
        <f>Sales_Data!C5</f>
        <v>Reyansh Bhat</v>
      </c>
      <c r="C7" s="9"/>
      <c r="D7" s="9"/>
      <c r="E7" s="9"/>
      <c r="F7" t="str">
        <f>Sales_Data!F5</f>
        <v>Nashik</v>
      </c>
      <c r="G7" t="str">
        <f>Sales_Data!G5</f>
        <v>Maharashtra</v>
      </c>
    </row>
    <row r="8" spans="1:8" x14ac:dyDescent="0.25">
      <c r="A8" t="str">
        <f>Sales_Data!C6</f>
        <v>Sanya Iyer</v>
      </c>
      <c r="C8" s="9"/>
      <c r="D8" s="9"/>
      <c r="E8" s="9"/>
      <c r="F8" t="str">
        <f>Sales_Data!F6</f>
        <v>Nashik</v>
      </c>
      <c r="G8" t="str">
        <f>Sales_Data!G6</f>
        <v>Maharashtra</v>
      </c>
    </row>
    <row r="9" spans="1:8" x14ac:dyDescent="0.25">
      <c r="A9" t="str">
        <f>Sales_Data!C7</f>
        <v>Omkar Salunkhe</v>
      </c>
      <c r="C9" s="9"/>
      <c r="D9" s="9"/>
      <c r="E9" s="9"/>
      <c r="F9" t="str">
        <f>Sales_Data!F7</f>
        <v>Bengaluru</v>
      </c>
      <c r="G9" t="str">
        <f>Sales_Data!G7</f>
        <v>Karnataka</v>
      </c>
    </row>
    <row r="10" spans="1:8" x14ac:dyDescent="0.25">
      <c r="A10" t="str">
        <f>Sales_Data!C8</f>
        <v>Yash Borse</v>
      </c>
      <c r="C10" s="9"/>
      <c r="D10" s="9"/>
      <c r="E10" s="9"/>
      <c r="F10" t="str">
        <f>Sales_Data!F8</f>
        <v>Malegaon</v>
      </c>
      <c r="G10" t="str">
        <f>Sales_Data!G8</f>
        <v>Maharashtra</v>
      </c>
    </row>
    <row r="11" spans="1:8" x14ac:dyDescent="0.25">
      <c r="A11" t="str">
        <f>Sales_Data!C9</f>
        <v>Omkar Salunkhe</v>
      </c>
      <c r="C11" s="9"/>
      <c r="D11" s="9"/>
      <c r="E11" s="9"/>
      <c r="F11" t="str">
        <f>Sales_Data!F9</f>
        <v>Nagpur</v>
      </c>
      <c r="G11" t="str">
        <f>Sales_Data!G9</f>
        <v>Maharashtra</v>
      </c>
    </row>
    <row r="12" spans="1:8" x14ac:dyDescent="0.25">
      <c r="A12" t="str">
        <f>Sales_Data!C10</f>
        <v>Vivaan Gaikwad</v>
      </c>
      <c r="C12" s="9"/>
      <c r="D12" s="9"/>
      <c r="E12" s="9"/>
      <c r="F12" t="str">
        <f>Sales_Data!F10</f>
        <v>Chennai</v>
      </c>
      <c r="G12" t="str">
        <f>Sales_Data!G10</f>
        <v>Tamil Nadu</v>
      </c>
    </row>
    <row r="13" spans="1:8" x14ac:dyDescent="0.25">
      <c r="A13" t="str">
        <f>Sales_Data!C11</f>
        <v>Arjun Nair</v>
      </c>
      <c r="C13" s="9"/>
      <c r="D13" s="9"/>
      <c r="E13" s="9"/>
      <c r="F13" t="str">
        <f>Sales_Data!F11</f>
        <v>Bengaluru</v>
      </c>
      <c r="G13" t="str">
        <f>Sales_Data!G11</f>
        <v>Karnataka</v>
      </c>
    </row>
    <row r="14" spans="1:8" x14ac:dyDescent="0.25">
      <c r="A14" t="str">
        <f>Sales_Data!C12</f>
        <v>Arjun Nair</v>
      </c>
      <c r="C14" s="9"/>
      <c r="D14" s="9"/>
      <c r="E14" s="9"/>
      <c r="F14" t="str">
        <f>Sales_Data!F12</f>
        <v>Nashik</v>
      </c>
      <c r="G14" t="str">
        <f>Sales_Data!G12</f>
        <v>Maharashtra</v>
      </c>
    </row>
    <row r="15" spans="1:8" x14ac:dyDescent="0.25">
      <c r="A15" t="str">
        <f>Sales_Data!C13</f>
        <v xml:space="preserve">  aarav shah </v>
      </c>
      <c r="C15" s="9"/>
      <c r="D15" s="9"/>
      <c r="E15" s="9"/>
      <c r="F15" t="str">
        <f>Sales_Data!F13</f>
        <v>Malegaon</v>
      </c>
      <c r="G15" t="str">
        <f>Sales_Data!G13</f>
        <v>Maharashtra</v>
      </c>
    </row>
    <row r="16" spans="1:8" x14ac:dyDescent="0.25">
      <c r="A16" t="str">
        <f>Sales_Data!C14</f>
        <v>Rohan Joshi</v>
      </c>
      <c r="C16" s="9"/>
      <c r="D16" s="9"/>
      <c r="E16" s="9"/>
      <c r="F16" t="str">
        <f>Sales_Data!F14</f>
        <v>Bengaluru</v>
      </c>
      <c r="G16" t="str">
        <f>Sales_Data!G14</f>
        <v>Karnataka</v>
      </c>
    </row>
    <row r="17" spans="1:7" x14ac:dyDescent="0.25">
      <c r="A17" t="str">
        <f>Sales_Data!C15</f>
        <v>Tanvi Nikam</v>
      </c>
      <c r="C17" s="9"/>
      <c r="D17" s="9"/>
      <c r="E17" s="9"/>
      <c r="F17" t="str">
        <f>Sales_Data!F15</f>
        <v>Ahmednagar</v>
      </c>
      <c r="G17" t="str">
        <f>Sales_Data!G15</f>
        <v>Maharashtra</v>
      </c>
    </row>
    <row r="18" spans="1:7" x14ac:dyDescent="0.25">
      <c r="A18" t="str">
        <f>Sales_Data!C16</f>
        <v>Rohan Joshi</v>
      </c>
      <c r="C18" s="9"/>
      <c r="D18" s="9"/>
      <c r="E18" s="9"/>
      <c r="F18" t="str">
        <f>Sales_Data!F16</f>
        <v>Nashik</v>
      </c>
      <c r="G18" t="str">
        <f>Sales_Data!G16</f>
        <v>Maharashtra</v>
      </c>
    </row>
    <row r="19" spans="1:7" x14ac:dyDescent="0.25">
      <c r="A19" t="str">
        <f>Sales_Data!C17</f>
        <v>Dhruv Sawant</v>
      </c>
      <c r="C19" s="9"/>
      <c r="D19" s="9"/>
      <c r="E19" s="9"/>
      <c r="F19" t="str">
        <f>Sales_Data!F17</f>
        <v>Chennai</v>
      </c>
      <c r="G19" t="str">
        <f>Sales_Data!G17</f>
        <v>Tamil Nadu</v>
      </c>
    </row>
    <row r="20" spans="1:7" x14ac:dyDescent="0.25">
      <c r="A20" t="str">
        <f>Sales_Data!C18</f>
        <v>Tanvi Nikam</v>
      </c>
      <c r="C20" s="9"/>
      <c r="D20" s="9"/>
      <c r="E20" s="9"/>
      <c r="F20" t="str">
        <f>Sales_Data!F18</f>
        <v>Jalgaon</v>
      </c>
      <c r="G20" t="str">
        <f>Sales_Data!G18</f>
        <v>Maharashtra</v>
      </c>
    </row>
    <row r="21" spans="1:7" x14ac:dyDescent="0.25">
      <c r="A21" t="str">
        <f>Sales_Data!C19</f>
        <v>Reyansh Bhat</v>
      </c>
      <c r="C21" s="9"/>
      <c r="D21" s="9"/>
      <c r="E21" s="9"/>
      <c r="F21" t="str">
        <f>Sales_Data!F19</f>
        <v>Dhule</v>
      </c>
      <c r="G21" t="str">
        <f>Sales_Data!G19</f>
        <v>Maharashtra</v>
      </c>
    </row>
    <row r="22" spans="1:7" x14ac:dyDescent="0.25">
      <c r="A22" t="str">
        <f>Sales_Data!C20</f>
        <v>Kabir Kulkarni</v>
      </c>
      <c r="C22" s="9"/>
      <c r="D22" s="9"/>
      <c r="E22" s="9"/>
      <c r="F22" t="str">
        <f>Sales_Data!F20</f>
        <v>Mumbai</v>
      </c>
      <c r="G22" t="str">
        <f>Sales_Data!G20</f>
        <v>Maharashtra</v>
      </c>
    </row>
    <row r="23" spans="1:7" x14ac:dyDescent="0.25">
      <c r="A23" t="str">
        <f>Sales_Data!C21</f>
        <v>Kabir Kulkarni</v>
      </c>
      <c r="C23" s="9"/>
      <c r="D23" s="9"/>
      <c r="E23" s="9"/>
      <c r="F23" t="str">
        <f>Sales_Data!F21</f>
        <v>Hyderabad</v>
      </c>
      <c r="G23" t="str">
        <f>Sales_Data!G21</f>
        <v>Telangana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"/>
  <sheetViews>
    <sheetView workbookViewId="0">
      <selection activeCell="F14" sqref="F14"/>
    </sheetView>
  </sheetViews>
  <sheetFormatPr defaultRowHeight="15" x14ac:dyDescent="0.25"/>
  <cols>
    <col min="1" max="1" width="12" customWidth="1"/>
    <col min="2" max="2" width="51" customWidth="1"/>
    <col min="3" max="3" width="12" customWidth="1"/>
    <col min="4" max="4" width="43" customWidth="1"/>
    <col min="5" max="5" width="12" customWidth="1"/>
    <col min="6" max="6" width="45" customWidth="1"/>
    <col min="7" max="7" width="12" customWidth="1"/>
    <col min="8" max="8" width="32" customWidth="1"/>
    <col min="9" max="10" width="12" customWidth="1"/>
    <col min="11" max="11" width="19" customWidth="1"/>
    <col min="12" max="12" width="54" customWidth="1"/>
  </cols>
  <sheetData>
    <row r="2" spans="2:2" ht="25.5" x14ac:dyDescent="0.5">
      <c r="B2" s="1" t="s">
        <v>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3"/>
  <sheetViews>
    <sheetView workbookViewId="0">
      <selection activeCell="B22" sqref="B22"/>
    </sheetView>
  </sheetViews>
  <sheetFormatPr defaultRowHeight="15" x14ac:dyDescent="0.25"/>
  <cols>
    <col min="1" max="1" width="63" customWidth="1"/>
    <col min="2" max="2" width="100.140625" bestFit="1" customWidth="1"/>
  </cols>
  <sheetData>
    <row r="1" spans="1:2" ht="25.5" x14ac:dyDescent="0.5">
      <c r="A1" s="1" t="s">
        <v>306</v>
      </c>
    </row>
    <row r="3" spans="1:2" ht="16.5" x14ac:dyDescent="0.3">
      <c r="A3" s="12" t="s">
        <v>307</v>
      </c>
      <c r="B3" s="12" t="s">
        <v>308</v>
      </c>
    </row>
    <row r="4" spans="1:2" ht="16.5" x14ac:dyDescent="0.3">
      <c r="A4" s="21" t="s">
        <v>309</v>
      </c>
      <c r="B4" s="13" t="s">
        <v>310</v>
      </c>
    </row>
    <row r="5" spans="1:2" ht="16.5" x14ac:dyDescent="0.3">
      <c r="A5" s="21" t="s">
        <v>311</v>
      </c>
      <c r="B5" s="13" t="s">
        <v>312</v>
      </c>
    </row>
    <row r="6" spans="1:2" ht="16.5" x14ac:dyDescent="0.3">
      <c r="A6" s="21" t="s">
        <v>313</v>
      </c>
      <c r="B6" s="13" t="s">
        <v>314</v>
      </c>
    </row>
    <row r="7" spans="1:2" ht="16.5" x14ac:dyDescent="0.3">
      <c r="A7" s="21" t="s">
        <v>315</v>
      </c>
      <c r="B7" s="13" t="s">
        <v>316</v>
      </c>
    </row>
    <row r="8" spans="1:2" ht="16.5" x14ac:dyDescent="0.3">
      <c r="A8" s="21" t="s">
        <v>317</v>
      </c>
      <c r="B8" s="13" t="s">
        <v>318</v>
      </c>
    </row>
    <row r="9" spans="1:2" ht="16.5" x14ac:dyDescent="0.3">
      <c r="A9" s="21" t="s">
        <v>319</v>
      </c>
      <c r="B9" s="13" t="s">
        <v>320</v>
      </c>
    </row>
    <row r="10" spans="1:2" ht="16.5" x14ac:dyDescent="0.3">
      <c r="A10" s="21" t="s">
        <v>321</v>
      </c>
      <c r="B10" s="13" t="s">
        <v>322</v>
      </c>
    </row>
    <row r="11" spans="1:2" ht="16.5" x14ac:dyDescent="0.3">
      <c r="A11" s="21" t="s">
        <v>323</v>
      </c>
      <c r="B11" s="13" t="s">
        <v>324</v>
      </c>
    </row>
    <row r="12" spans="1:2" ht="16.5" x14ac:dyDescent="0.3">
      <c r="A12" s="21" t="s">
        <v>325</v>
      </c>
      <c r="B12" s="13" t="s">
        <v>326</v>
      </c>
    </row>
    <row r="13" spans="1:2" ht="16.5" x14ac:dyDescent="0.3">
      <c r="A13" s="21" t="s">
        <v>327</v>
      </c>
      <c r="B13" s="13" t="s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Sales_Data</vt:lpstr>
      <vt:lpstr>Data_Entry</vt:lpstr>
      <vt:lpstr>Series_Practice</vt:lpstr>
      <vt:lpstr>Analysis</vt:lpstr>
      <vt:lpstr>Date_Practice</vt:lpstr>
      <vt:lpstr>Text_Practice</vt:lpstr>
      <vt:lpstr>Dashboard</vt:lpstr>
      <vt:lpstr>Final_Challenge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2026-09-14T05:40:38Z</dcterms:created>
  <dcterms:modified xsi:type="dcterms:W3CDTF">2026-09-14T11:13:07Z</dcterms:modified>
</cp:coreProperties>
</file>