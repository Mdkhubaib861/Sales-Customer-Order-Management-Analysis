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228"/>
  <workbookPr/>
  <mc:AlternateContent xmlns:mc="http://schemas.openxmlformats.org/markup-compatibility/2006">
    <mc:Choice Requires="x15">
      <x15ac:absPath xmlns:x15ac="http://schemas.microsoft.com/office/spreadsheetml/2010/11/ac" url="C:\Users\Admin\Desktop\mini project\"/>
    </mc:Choice>
  </mc:AlternateContent>
  <xr:revisionPtr revIDLastSave="0" documentId="13_ncr:1_{92CDD411-2CCD-424C-B7BB-819FB913274C}" xr6:coauthVersionLast="45" xr6:coauthVersionMax="45" xr10:uidLastSave="{00000000-0000-0000-0000-000000000000}"/>
  <bookViews>
    <workbookView xWindow="-120" yWindow="-120" windowWidth="20730" windowHeight="11160" activeTab="5" xr2:uid="{00000000-000D-0000-FFFF-FFFF00000000}"/>
  </bookViews>
  <sheets>
    <sheet name="Instructions" sheetId="1" r:id="rId1"/>
    <sheet name="Sales_Data" sheetId="2" r:id="rId2"/>
    <sheet name="Data_Entry" sheetId="3" r:id="rId3"/>
    <sheet name="Series_Practice" sheetId="4" r:id="rId4"/>
    <sheet name="Analysis" sheetId="5" r:id="rId5"/>
    <sheet name="Date_Practice" sheetId="6" r:id="rId6"/>
    <sheet name="Text_Practice" sheetId="7" r:id="rId7"/>
    <sheet name="Dashboard" sheetId="8" r:id="rId8"/>
    <sheet name="Final_Challenge" sheetId="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G23" i="7" l="1"/>
  <c r="F23" i="7"/>
  <c r="A23" i="7"/>
  <c r="G22" i="7"/>
  <c r="F22" i="7"/>
  <c r="A22" i="7"/>
  <c r="G21" i="7"/>
  <c r="F21" i="7"/>
  <c r="A21" i="7"/>
  <c r="G20" i="7"/>
  <c r="F20" i="7"/>
  <c r="A20" i="7"/>
  <c r="G19" i="7"/>
  <c r="F19" i="7"/>
  <c r="A19" i="7"/>
  <c r="G18" i="7"/>
  <c r="F18" i="7"/>
  <c r="A18" i="7"/>
  <c r="G17" i="7"/>
  <c r="F17" i="7"/>
  <c r="A17" i="7"/>
  <c r="G16" i="7"/>
  <c r="F16" i="7"/>
  <c r="A16" i="7"/>
  <c r="G15" i="7"/>
  <c r="F15" i="7"/>
  <c r="A15" i="7"/>
  <c r="G14" i="7"/>
  <c r="F14" i="7"/>
  <c r="A14" i="7"/>
  <c r="G13" i="7"/>
  <c r="F13" i="7"/>
  <c r="A13" i="7"/>
  <c r="G12" i="7"/>
  <c r="F12" i="7"/>
  <c r="A12" i="7"/>
  <c r="G11" i="7"/>
  <c r="F11" i="7"/>
  <c r="A11" i="7"/>
  <c r="G10" i="7"/>
  <c r="F10" i="7"/>
  <c r="A10" i="7"/>
  <c r="G9" i="7"/>
  <c r="F9" i="7"/>
  <c r="A9" i="7"/>
  <c r="G8" i="7"/>
  <c r="F8" i="7"/>
  <c r="A8" i="7"/>
  <c r="G7" i="7"/>
  <c r="F7" i="7"/>
  <c r="A7" i="7"/>
  <c r="G6" i="7"/>
  <c r="F6" i="7"/>
  <c r="A6" i="7"/>
  <c r="G5" i="7"/>
  <c r="F5" i="7"/>
  <c r="A5" i="7"/>
  <c r="G4" i="7"/>
  <c r="F4" i="7"/>
  <c r="A4" i="7"/>
  <c r="C23" i="6"/>
  <c r="B23" i="6"/>
  <c r="A23" i="6"/>
  <c r="C22" i="6"/>
  <c r="B22" i="6"/>
  <c r="A22" i="6"/>
  <c r="C21" i="6"/>
  <c r="B21" i="6"/>
  <c r="A21" i="6"/>
  <c r="C20" i="6"/>
  <c r="B20" i="6"/>
  <c r="A20" i="6"/>
  <c r="C19" i="6"/>
  <c r="B19" i="6"/>
  <c r="A19" i="6"/>
  <c r="C18" i="6"/>
  <c r="B18" i="6"/>
  <c r="A18" i="6"/>
  <c r="C17" i="6"/>
  <c r="B17" i="6"/>
  <c r="A17" i="6"/>
  <c r="C16" i="6"/>
  <c r="B16" i="6"/>
  <c r="A16" i="6"/>
  <c r="C15" i="6"/>
  <c r="B15" i="6"/>
  <c r="A15" i="6"/>
  <c r="C14" i="6"/>
  <c r="B14" i="6"/>
  <c r="A14" i="6"/>
  <c r="C13" i="6"/>
  <c r="B13" i="6"/>
  <c r="A13" i="6"/>
  <c r="C12" i="6"/>
  <c r="B12" i="6"/>
  <c r="A12" i="6"/>
  <c r="C11" i="6"/>
  <c r="B11" i="6"/>
  <c r="A11" i="6"/>
  <c r="C10" i="6"/>
  <c r="B10" i="6"/>
  <c r="A10" i="6"/>
  <c r="C9" i="6"/>
  <c r="B9" i="6"/>
  <c r="A9" i="6"/>
  <c r="C8" i="6"/>
  <c r="B8" i="6"/>
  <c r="A8" i="6"/>
  <c r="C7" i="6"/>
  <c r="B7" i="6"/>
  <c r="A7" i="6"/>
  <c r="C6" i="6"/>
  <c r="B6" i="6"/>
  <c r="A6" i="6"/>
  <c r="C5" i="6"/>
  <c r="B5" i="6"/>
  <c r="A5" i="6"/>
  <c r="C4" i="6"/>
  <c r="B4" i="6"/>
  <c r="A4" i="6"/>
  <c r="T101" i="2"/>
  <c r="T100" i="2"/>
  <c r="U100" i="2" s="1"/>
  <c r="T99" i="2"/>
  <c r="U99" i="2" s="1"/>
  <c r="V99" i="2" s="1"/>
  <c r="T98" i="2"/>
  <c r="U97" i="2"/>
  <c r="T97" i="2"/>
  <c r="T96" i="2"/>
  <c r="U96" i="2" s="1"/>
  <c r="T95" i="2"/>
  <c r="U95" i="2" s="1"/>
  <c r="V95" i="2" s="1"/>
  <c r="T94" i="2"/>
  <c r="U94" i="2" s="1"/>
  <c r="V94" i="2" s="1"/>
  <c r="T93" i="2"/>
  <c r="T92" i="2"/>
  <c r="U92" i="2" s="1"/>
  <c r="T91" i="2"/>
  <c r="U91" i="2" s="1"/>
  <c r="V91" i="2" s="1"/>
  <c r="T90" i="2"/>
  <c r="T89" i="2"/>
  <c r="U89" i="2" s="1"/>
  <c r="T88" i="2"/>
  <c r="U88" i="2" s="1"/>
  <c r="T87" i="2"/>
  <c r="U87" i="2" s="1"/>
  <c r="T86" i="2"/>
  <c r="U86" i="2" s="1"/>
  <c r="V86" i="2" s="1"/>
  <c r="T85" i="2"/>
  <c r="T84" i="2"/>
  <c r="U84" i="2" s="1"/>
  <c r="T83" i="2"/>
  <c r="U83" i="2" s="1"/>
  <c r="V83" i="2" s="1"/>
  <c r="T82" i="2"/>
  <c r="T81" i="2"/>
  <c r="U81" i="2" s="1"/>
  <c r="T80" i="2"/>
  <c r="U80" i="2" s="1"/>
  <c r="T79" i="2"/>
  <c r="T78" i="2"/>
  <c r="U78" i="2" s="1"/>
  <c r="V78" i="2" s="1"/>
  <c r="T77" i="2"/>
  <c r="T76" i="2"/>
  <c r="U76" i="2" s="1"/>
  <c r="T75" i="2"/>
  <c r="U75" i="2" s="1"/>
  <c r="V75" i="2" s="1"/>
  <c r="T74" i="2"/>
  <c r="T73" i="2"/>
  <c r="U73" i="2" s="1"/>
  <c r="T72" i="2"/>
  <c r="T71" i="2"/>
  <c r="U71" i="2" s="1"/>
  <c r="V71" i="2" s="1"/>
  <c r="T70" i="2"/>
  <c r="U70" i="2" s="1"/>
  <c r="V70" i="2" s="1"/>
  <c r="T69" i="2"/>
  <c r="T68" i="2"/>
  <c r="U68" i="2" s="1"/>
  <c r="T67" i="2"/>
  <c r="U67" i="2" s="1"/>
  <c r="V67" i="2" s="1"/>
  <c r="T66" i="2"/>
  <c r="T65" i="2"/>
  <c r="U65" i="2" s="1"/>
  <c r="T64" i="2"/>
  <c r="T63" i="2"/>
  <c r="U63" i="2" s="1"/>
  <c r="V63" i="2" s="1"/>
  <c r="T62" i="2"/>
  <c r="T61" i="2"/>
  <c r="T60" i="2"/>
  <c r="U60" i="2" s="1"/>
  <c r="U59" i="2"/>
  <c r="V59" i="2" s="1"/>
  <c r="T59" i="2"/>
  <c r="T58" i="2"/>
  <c r="T57" i="2"/>
  <c r="U57" i="2" s="1"/>
  <c r="T56" i="2"/>
  <c r="T55" i="2"/>
  <c r="T54" i="2"/>
  <c r="U54" i="2" s="1"/>
  <c r="V54" i="2" s="1"/>
  <c r="T53" i="2"/>
  <c r="V52" i="2"/>
  <c r="T52" i="2"/>
  <c r="U52" i="2" s="1"/>
  <c r="T51" i="2"/>
  <c r="U51" i="2" s="1"/>
  <c r="V51" i="2" s="1"/>
  <c r="T50" i="2"/>
  <c r="U50" i="2" s="1"/>
  <c r="T49" i="2"/>
  <c r="U49" i="2" s="1"/>
  <c r="T48" i="2"/>
  <c r="T47" i="2"/>
  <c r="U47" i="2" s="1"/>
  <c r="V47" i="2" s="1"/>
  <c r="T46" i="2"/>
  <c r="U46" i="2" s="1"/>
  <c r="T45" i="2"/>
  <c r="T44" i="2"/>
  <c r="U44" i="2" s="1"/>
  <c r="T43" i="2"/>
  <c r="U43" i="2" s="1"/>
  <c r="V43" i="2" s="1"/>
  <c r="T42" i="2"/>
  <c r="U42" i="2" s="1"/>
  <c r="T41" i="2"/>
  <c r="U41" i="2" s="1"/>
  <c r="T40" i="2"/>
  <c r="U40" i="2" s="1"/>
  <c r="T39" i="2"/>
  <c r="U39" i="2" s="1"/>
  <c r="T38" i="2"/>
  <c r="U38" i="2" s="1"/>
  <c r="V38" i="2" s="1"/>
  <c r="T37" i="2"/>
  <c r="T36" i="2"/>
  <c r="U36" i="2" s="1"/>
  <c r="T35" i="2"/>
  <c r="U35" i="2" s="1"/>
  <c r="T34" i="2"/>
  <c r="U34" i="2" s="1"/>
  <c r="T33" i="2"/>
  <c r="U33" i="2" s="1"/>
  <c r="V33" i="2" s="1"/>
  <c r="T32" i="2"/>
  <c r="U32" i="2" s="1"/>
  <c r="T31" i="2"/>
  <c r="U31" i="2" s="1"/>
  <c r="T30" i="2"/>
  <c r="U30" i="2" s="1"/>
  <c r="V30" i="2" s="1"/>
  <c r="T29" i="2"/>
  <c r="T28" i="2"/>
  <c r="U28" i="2" s="1"/>
  <c r="T27" i="2"/>
  <c r="U27" i="2" s="1"/>
  <c r="T26" i="2"/>
  <c r="U26" i="2" s="1"/>
  <c r="V26" i="2" s="1"/>
  <c r="T25" i="2"/>
  <c r="U25" i="2" s="1"/>
  <c r="V25" i="2" s="1"/>
  <c r="T24" i="2"/>
  <c r="U24" i="2" s="1"/>
  <c r="T23" i="2"/>
  <c r="U23" i="2" s="1"/>
  <c r="T22" i="2"/>
  <c r="U22" i="2" s="1"/>
  <c r="V22" i="2" s="1"/>
  <c r="T21" i="2"/>
  <c r="U20" i="2"/>
  <c r="T20" i="2"/>
  <c r="T19" i="2"/>
  <c r="U19" i="2" s="1"/>
  <c r="T18" i="2"/>
  <c r="U18" i="2" s="1"/>
  <c r="V18" i="2" s="1"/>
  <c r="T17" i="2"/>
  <c r="T16" i="2"/>
  <c r="U16" i="2" s="1"/>
  <c r="T15" i="2"/>
  <c r="U15" i="2" s="1"/>
  <c r="T14" i="2"/>
  <c r="U14" i="2" s="1"/>
  <c r="V14" i="2" s="1"/>
  <c r="T13" i="2"/>
  <c r="T12" i="2"/>
  <c r="U12" i="2" s="1"/>
  <c r="T11" i="2"/>
  <c r="U11" i="2" s="1"/>
  <c r="T10" i="2"/>
  <c r="U9" i="2"/>
  <c r="T9" i="2"/>
  <c r="T8" i="2"/>
  <c r="T7" i="2"/>
  <c r="U7" i="2" s="1"/>
  <c r="T6" i="2"/>
  <c r="U6" i="2" s="1"/>
  <c r="V6" i="2" s="1"/>
  <c r="T5" i="2"/>
  <c r="T4" i="2"/>
  <c r="U4" i="2" s="1"/>
  <c r="T3" i="2"/>
  <c r="U3" i="2" s="1"/>
  <c r="U2" i="2"/>
  <c r="T2" i="2"/>
  <c r="V31" i="2" l="1"/>
  <c r="V15" i="2"/>
  <c r="V2" i="2"/>
  <c r="V76" i="2"/>
  <c r="V9" i="2"/>
  <c r="V87" i="2"/>
  <c r="V34" i="2"/>
  <c r="U10" i="2"/>
  <c r="V10" i="2" s="1"/>
  <c r="U17" i="2"/>
  <c r="V17" i="2" s="1"/>
  <c r="V23" i="2"/>
  <c r="U55" i="2"/>
  <c r="V55" i="2" s="1"/>
  <c r="U62" i="2"/>
  <c r="V62" i="2" s="1"/>
  <c r="V68" i="2"/>
  <c r="V92" i="2"/>
  <c r="V60" i="2"/>
  <c r="U79" i="2"/>
  <c r="V79" i="2" s="1"/>
  <c r="V46" i="2"/>
  <c r="V7" i="2"/>
  <c r="V39" i="2"/>
  <c r="V84" i="2"/>
  <c r="V100" i="2"/>
  <c r="U58" i="2"/>
  <c r="V58" i="2" s="1"/>
  <c r="U64" i="2"/>
  <c r="V64" i="2" s="1"/>
  <c r="U69" i="2"/>
  <c r="V69" i="2" s="1"/>
  <c r="V3" i="2"/>
  <c r="U5" i="2"/>
  <c r="U8" i="2"/>
  <c r="V8" i="2" s="1"/>
  <c r="V11" i="2"/>
  <c r="U13" i="2"/>
  <c r="V13" i="2" s="1"/>
  <c r="V19" i="2"/>
  <c r="U21" i="2"/>
  <c r="V21" i="2" s="1"/>
  <c r="V27" i="2"/>
  <c r="U29" i="2"/>
  <c r="V29" i="2" s="1"/>
  <c r="V35" i="2"/>
  <c r="U37" i="2"/>
  <c r="V37" i="2" s="1"/>
  <c r="V42" i="2"/>
  <c r="V44" i="2"/>
  <c r="U48" i="2"/>
  <c r="V48" i="2" s="1"/>
  <c r="V50" i="2"/>
  <c r="U56" i="2"/>
  <c r="V56" i="2" s="1"/>
  <c r="U61" i="2"/>
  <c r="V61" i="2" s="1"/>
  <c r="V32" i="2"/>
  <c r="V4" i="2"/>
  <c r="V12" i="2"/>
  <c r="V20" i="2"/>
  <c r="V28" i="2"/>
  <c r="V36" i="2"/>
  <c r="V41" i="2"/>
  <c r="U45" i="2"/>
  <c r="V45" i="2" s="1"/>
  <c r="V49" i="2"/>
  <c r="U53" i="2"/>
  <c r="V53" i="2" s="1"/>
  <c r="U74" i="2"/>
  <c r="V74" i="2" s="1"/>
  <c r="V16" i="2"/>
  <c r="V24" i="2"/>
  <c r="V40" i="2"/>
  <c r="U66" i="2"/>
  <c r="V66" i="2" s="1"/>
  <c r="U72" i="2"/>
  <c r="V72" i="2" s="1"/>
  <c r="U77" i="2"/>
  <c r="V77" i="2" s="1"/>
  <c r="V80" i="2"/>
  <c r="U82" i="2"/>
  <c r="V82" i="2" s="1"/>
  <c r="U85" i="2"/>
  <c r="V85" i="2" s="1"/>
  <c r="V88" i="2"/>
  <c r="U90" i="2"/>
  <c r="V90" i="2" s="1"/>
  <c r="U93" i="2"/>
  <c r="V93" i="2" s="1"/>
  <c r="V96" i="2"/>
  <c r="U98" i="2"/>
  <c r="V98" i="2" s="1"/>
  <c r="U101" i="2"/>
  <c r="V101" i="2" s="1"/>
  <c r="V57" i="2"/>
  <c r="V65" i="2"/>
  <c r="V73" i="2"/>
  <c r="V81" i="2"/>
  <c r="V89" i="2"/>
  <c r="V97" i="2"/>
  <c r="V5" i="2" l="1"/>
</calcChain>
</file>

<file path=xl/sharedStrings.xml><?xml version="1.0" encoding="utf-8"?>
<sst xmlns="http://schemas.openxmlformats.org/spreadsheetml/2006/main" count="1370" uniqueCount="334">
  <si>
    <t>Excel Practical Project: Sales, Customer &amp; Order Management Analysis</t>
  </si>
  <si>
    <t>Welcome &amp; Course Overview</t>
  </si>
  <si>
    <t>Target Audience:</t>
  </si>
  <si>
    <t>Beginner to Intermediate students learning Excel for office work, data analysis, and career development.</t>
  </si>
  <si>
    <t>Workbook Structure:</t>
  </si>
  <si>
    <t>This workbook consists of 9 structured sheets covering end-to-end data processing, practical analysis, and visual dashboarding.</t>
  </si>
  <si>
    <t>Sheet Descriptions &amp; Workflow:</t>
  </si>
  <si>
    <t>1. Instructions</t>
  </si>
  <si>
    <t>Project overview, key concepts, learning objectives, and guidance for students.</t>
  </si>
  <si>
    <t>2. Sales_Data</t>
  </si>
  <si>
    <t>Master raw dataset containing 100+ realistic Indian retail/wholesale transactions. Used for sorting, filtering, formulas, and conditional formatting.</t>
  </si>
  <si>
    <t>3. Data_Entry</t>
  </si>
  <si>
    <t>An interactive Order Entry Template incorporating Data Validation rules (drop-downs, range constraints, custom alert messages).</t>
  </si>
  <si>
    <t>4. Series_Practice</t>
  </si>
  <si>
    <t>Practical exercises for generating Linear, Growth, Date, Weekday, Month, and Custom AutoFill series.</t>
  </si>
  <si>
    <t>5. Analysis</t>
  </si>
  <si>
    <t>Calculated summary metrics using basic (SUM, AVERAGE, MIN, MAX) and conditional statistical functions (COUNT, COUNTA, COUNTIF, SUMIF, AVERAGEIF).</t>
  </si>
  <si>
    <t>6. Date_Practice</t>
  </si>
  <si>
    <t>Exercises focused on Date &amp; Time operations (TODAY, YEAR, MONTH, DAY, WEEKDAY, DATEDIF, EOMONTH, delivery duration calculations).</t>
  </si>
  <si>
    <t>7. Text_Practice</t>
  </si>
  <si>
    <t>Data cleaning and string manipulation exercises (TRIM, PROPER, LEFT, RIGHT, MID, CONCAT, TEXTJOIN, SUBSTITUTE, SEARCH).</t>
  </si>
  <si>
    <t>8. Dashboard</t>
  </si>
  <si>
    <t>Executive KPI summary cards and visual interactive charts summarizing Sales by Category, City, Salesperson, and Order Status.</t>
  </si>
  <si>
    <t>9. Final_Challenge</t>
  </si>
  <si>
    <t>Independent final assessment containing 10 business problem statements designed to test real-world proficiency.</t>
  </si>
  <si>
    <t>Order_ID</t>
  </si>
  <si>
    <t>Order_Date</t>
  </si>
  <si>
    <t>Customer_Name</t>
  </si>
  <si>
    <t>Gender</t>
  </si>
  <si>
    <t>Age</t>
  </si>
  <si>
    <t>City</t>
  </si>
  <si>
    <t>State</t>
  </si>
  <si>
    <t>Product_Category</t>
  </si>
  <si>
    <t>Product</t>
  </si>
  <si>
    <t>Salesperson</t>
  </si>
  <si>
    <t>Quantity</t>
  </si>
  <si>
    <t>Unit_Price</t>
  </si>
  <si>
    <t>Discount</t>
  </si>
  <si>
    <t>Payment_Mode</t>
  </si>
  <si>
    <t>Order_Status</t>
  </si>
  <si>
    <t>Delivery_Date</t>
  </si>
  <si>
    <t>Rating</t>
  </si>
  <si>
    <t>Customer_Type</t>
  </si>
  <si>
    <t>Remarks</t>
  </si>
  <si>
    <t>Total_Amount</t>
  </si>
  <si>
    <t>Discount_Amount</t>
  </si>
  <si>
    <t>Net_Sales</t>
  </si>
  <si>
    <t>ORD-1001</t>
  </si>
  <si>
    <t>Aarav Shah</t>
  </si>
  <si>
    <t>Female</t>
  </si>
  <si>
    <t>Pune</t>
  </si>
  <si>
    <t>Maharashtra</t>
  </si>
  <si>
    <t>Electronics</t>
  </si>
  <si>
    <t>Laptop</t>
  </si>
  <si>
    <t>Neha Gupta</t>
  </si>
  <si>
    <t>Cash</t>
  </si>
  <si>
    <t>Completed</t>
  </si>
  <si>
    <t>New</t>
  </si>
  <si>
    <t>Prompt delivery requested</t>
  </si>
  <si>
    <t>ORD-1002</t>
  </si>
  <si>
    <t>Vivaan Gaikwad</t>
  </si>
  <si>
    <t>Male</t>
  </si>
  <si>
    <t>Accessories</t>
  </si>
  <si>
    <t>USB Cable</t>
  </si>
  <si>
    <t>Sneha Kulkarni</t>
  </si>
  <si>
    <t>Net Banking</t>
  </si>
  <si>
    <t>Satisfied with service</t>
  </si>
  <si>
    <t>ORD-1003</t>
  </si>
  <si>
    <t>Arjun Nair</t>
  </si>
  <si>
    <t>Chennai</t>
  </si>
  <si>
    <t>Tamil Nadu</t>
  </si>
  <si>
    <t>Office Supplies</t>
  </si>
  <si>
    <t>Notebook</t>
  </si>
  <si>
    <t>Amit Sharma</t>
  </si>
  <si>
    <t>Credit Card</t>
  </si>
  <si>
    <t>Pending</t>
  </si>
  <si>
    <t>Returning</t>
  </si>
  <si>
    <t>Follow up needed</t>
  </si>
  <si>
    <t>ORD-1004</t>
  </si>
  <si>
    <t>Reyansh Bhat</t>
  </si>
  <si>
    <t>Nashik</t>
  </si>
  <si>
    <t>USB Drive</t>
  </si>
  <si>
    <t>Rajesh Khan</t>
  </si>
  <si>
    <t>ORD-1005</t>
  </si>
  <si>
    <t>Sanya Iyer</t>
  </si>
  <si>
    <t>File Folder</t>
  </si>
  <si>
    <t>UPI</t>
  </si>
  <si>
    <t>ORD-1006</t>
  </si>
  <si>
    <t>Omkar Salunkhe</t>
  </si>
  <si>
    <t>Bengaluru</t>
  </si>
  <si>
    <t>Karnataka</t>
  </si>
  <si>
    <t>Printer</t>
  </si>
  <si>
    <t>Debit Card</t>
  </si>
  <si>
    <t>ORD-1007</t>
  </si>
  <si>
    <t>Yash Borse</t>
  </si>
  <si>
    <t>Malegaon</t>
  </si>
  <si>
    <t>Calculator</t>
  </si>
  <si>
    <t>Rahul Verma</t>
  </si>
  <si>
    <t>ORD-1008</t>
  </si>
  <si>
    <t>Nagpur</t>
  </si>
  <si>
    <t>Keyboard</t>
  </si>
  <si>
    <t>Gift wrap required</t>
  </si>
  <si>
    <t>ORD-1009</t>
  </si>
  <si>
    <t>Priya Patel</t>
  </si>
  <si>
    <t>Standard packing</t>
  </si>
  <si>
    <t>ORD-1010</t>
  </si>
  <si>
    <t>ORD-1011</t>
  </si>
  <si>
    <t>ORD-1012</t>
  </si>
  <si>
    <t xml:space="preserve">  aarav shah </t>
  </si>
  <si>
    <t>Mouse</t>
  </si>
  <si>
    <t>ORD-1013</t>
  </si>
  <si>
    <t>Rohan Joshi</t>
  </si>
  <si>
    <t>Printer Paper</t>
  </si>
  <si>
    <t>ORD-1014</t>
  </si>
  <si>
    <t>Tanvi Nikam</t>
  </si>
  <si>
    <t>Ahmednagar</t>
  </si>
  <si>
    <t>ORD-1015</t>
  </si>
  <si>
    <t>ORD-1016</t>
  </si>
  <si>
    <t>Dhruv Sawant</t>
  </si>
  <si>
    <t>ORD-1017</t>
  </si>
  <si>
    <t>Jalgaon</t>
  </si>
  <si>
    <t>Call before delivery</t>
  </si>
  <si>
    <t>ORD-1018</t>
  </si>
  <si>
    <t>Dhule</t>
  </si>
  <si>
    <t>Headphones</t>
  </si>
  <si>
    <t>Cancelled</t>
  </si>
  <si>
    <t>ORD-1019</t>
  </si>
  <si>
    <t>Kabir Kulkarni</t>
  </si>
  <si>
    <t>Mumbai</t>
  </si>
  <si>
    <t>Handle with care</t>
  </si>
  <si>
    <t>ORD-1020</t>
  </si>
  <si>
    <t>Hyderabad</t>
  </si>
  <si>
    <t>Telangana</t>
  </si>
  <si>
    <t>ORD-1021</t>
  </si>
  <si>
    <t>Isha Mehta</t>
  </si>
  <si>
    <t>Webcam</t>
  </si>
  <si>
    <t>ORD-1022</t>
  </si>
  <si>
    <t>ORD-1023</t>
  </si>
  <si>
    <t>Delhi</t>
  </si>
  <si>
    <t>ORD-1024</t>
  </si>
  <si>
    <t>ORD-1026</t>
  </si>
  <si>
    <t>Aditi Deshmukh</t>
  </si>
  <si>
    <t>ORD-1027</t>
  </si>
  <si>
    <t>Vikas Rao</t>
  </si>
  <si>
    <t>ORD-1028</t>
  </si>
  <si>
    <t>Diya Pawar</t>
  </si>
  <si>
    <t>Power Bank</t>
  </si>
  <si>
    <t>ORD-1029</t>
  </si>
  <si>
    <t>Devansh More</t>
  </si>
  <si>
    <t>ORD-1030</t>
  </si>
  <si>
    <t>Monitor</t>
  </si>
  <si>
    <t>ORD-1031</t>
  </si>
  <si>
    <t>ORD-1032</t>
  </si>
  <si>
    <t>Pranav Jadhav</t>
  </si>
  <si>
    <t>ORD-1033</t>
  </si>
  <si>
    <t>Ananya Shinde</t>
  </si>
  <si>
    <t>ORD-1034</t>
  </si>
  <si>
    <t>ORD-1035</t>
  </si>
  <si>
    <t>ORD-1036</t>
  </si>
  <si>
    <t>ORD-1037</t>
  </si>
  <si>
    <t>Pen</t>
  </si>
  <si>
    <t>ORD-1038</t>
  </si>
  <si>
    <t xml:space="preserve">  siddharth shinde </t>
  </si>
  <si>
    <t>ORD-1039</t>
  </si>
  <si>
    <t>Aadhya Thorat</t>
  </si>
  <si>
    <t>ORD-1040</t>
  </si>
  <si>
    <t>ORD-1041</t>
  </si>
  <si>
    <t>Kiara Wagh</t>
  </si>
  <si>
    <t>ORD-1042</t>
  </si>
  <si>
    <t>ORD-1043</t>
  </si>
  <si>
    <t>ORD-1044</t>
  </si>
  <si>
    <t>ORD-1045</t>
  </si>
  <si>
    <t>ORD-1046</t>
  </si>
  <si>
    <t>ORD-1047</t>
  </si>
  <si>
    <t>ORD-1048</t>
  </si>
  <si>
    <t>ORD-1049</t>
  </si>
  <si>
    <t>ORD-1050</t>
  </si>
  <si>
    <t>ORD-1051</t>
  </si>
  <si>
    <t>ORD-1052</t>
  </si>
  <si>
    <t>Anaya Kamble</t>
  </si>
  <si>
    <t>ORD-1053</t>
  </si>
  <si>
    <t>ORD-1054</t>
  </si>
  <si>
    <t>ORD-1055</t>
  </si>
  <si>
    <t>Myra Agarwal</t>
  </si>
  <si>
    <t>ORD-1056</t>
  </si>
  <si>
    <t>Vihaan Patil</t>
  </si>
  <si>
    <t>ORD-1057</t>
  </si>
  <si>
    <t>ORD-1058</t>
  </si>
  <si>
    <t>ORD-1059</t>
  </si>
  <si>
    <t>ORD-1061</t>
  </si>
  <si>
    <t>ORD-1062</t>
  </si>
  <si>
    <t>ORD-1063</t>
  </si>
  <si>
    <t>ORD-1064</t>
  </si>
  <si>
    <t>ORD-1065</t>
  </si>
  <si>
    <t>ORD-1066</t>
  </si>
  <si>
    <t>ORD-1067</t>
  </si>
  <si>
    <t>ORD-1068</t>
  </si>
  <si>
    <t>ORD-1069</t>
  </si>
  <si>
    <t>ORD-1070</t>
  </si>
  <si>
    <t>ORD-1071</t>
  </si>
  <si>
    <t>Aurangabad</t>
  </si>
  <si>
    <t>ORD-1072</t>
  </si>
  <si>
    <t>ORD-1073</t>
  </si>
  <si>
    <t>ORD-1074</t>
  </si>
  <si>
    <t>ORD-1075</t>
  </si>
  <si>
    <t xml:space="preserve">  sanya iyer </t>
  </si>
  <si>
    <t>ORD-1076</t>
  </si>
  <si>
    <t>Pari Chaudhari</t>
  </si>
  <si>
    <t>ORD-1077</t>
  </si>
  <si>
    <t>ORD-1078</t>
  </si>
  <si>
    <t>ORD-1079</t>
  </si>
  <si>
    <t>ORD-1080</t>
  </si>
  <si>
    <t>ORD-1081</t>
  </si>
  <si>
    <t>ORD-1082</t>
  </si>
  <si>
    <t>ORD-1083</t>
  </si>
  <si>
    <t>ORD-1084</t>
  </si>
  <si>
    <t>ORD-1085</t>
  </si>
  <si>
    <t>ORD-1086</t>
  </si>
  <si>
    <t>ORD-1087</t>
  </si>
  <si>
    <t>ORD-1088</t>
  </si>
  <si>
    <t>ORD-1089</t>
  </si>
  <si>
    <t>ORD-1090</t>
  </si>
  <si>
    <t>Riya Kale</t>
  </si>
  <si>
    <t>ORD-1091</t>
  </si>
  <si>
    <t>ORD-1092</t>
  </si>
  <si>
    <t>ORD-1093</t>
  </si>
  <si>
    <t>ORD-1094</t>
  </si>
  <si>
    <t>ORD-1095</t>
  </si>
  <si>
    <t>ORD-1096</t>
  </si>
  <si>
    <t>ORD-1097</t>
  </si>
  <si>
    <t>ORD-1098</t>
  </si>
  <si>
    <t>ORD-1099</t>
  </si>
  <si>
    <t>ORD-1100</t>
  </si>
  <si>
    <t>Customer Order Entry Form</t>
  </si>
  <si>
    <t>Fill in the parameters below. Data validation rules ensure accurate input.</t>
  </si>
  <si>
    <t>Order ID</t>
  </si>
  <si>
    <t>(Auto-generated (e.g. ORD-1101))</t>
  </si>
  <si>
    <t>Order Date</t>
  </si>
  <si>
    <t>(=TODAY())</t>
  </si>
  <si>
    <t>Customer Name</t>
  </si>
  <si>
    <t>(Enter full name)</t>
  </si>
  <si>
    <t>(Select from drop-down)</t>
  </si>
  <si>
    <t>(Enter age (18 - 80))</t>
  </si>
  <si>
    <t>(Select City)</t>
  </si>
  <si>
    <t>(Select State)</t>
  </si>
  <si>
    <t>Product Category</t>
  </si>
  <si>
    <t>(Select Category)</t>
  </si>
  <si>
    <t>(Enter Product Name)</t>
  </si>
  <si>
    <t>(Select Salesperson)</t>
  </si>
  <si>
    <t>(Enter whole number (1 - 100))</t>
  </si>
  <si>
    <t>Unit Price (₹)</t>
  </si>
  <si>
    <t>(Enter unit price)</t>
  </si>
  <si>
    <t>Discount (%)</t>
  </si>
  <si>
    <t>(Enter discount (0% - 50%))</t>
  </si>
  <si>
    <t>Payment Mode</t>
  </si>
  <si>
    <t>(Select Payment Mode)</t>
  </si>
  <si>
    <t>Order Status</t>
  </si>
  <si>
    <t>(Select Status)</t>
  </si>
  <si>
    <t>Customer Type</t>
  </si>
  <si>
    <t>(Select Customer Type)</t>
  </si>
  <si>
    <t>(Enter rating (1 - 5))</t>
  </si>
  <si>
    <t>Excel Series &amp; AutoFill Exercises</t>
  </si>
  <si>
    <t>Number Series (1,2,3...)</t>
  </si>
  <si>
    <t>Even Numbers (2,4,6...)</t>
  </si>
  <si>
    <t>Odd Numbers (1,3,5...)</t>
  </si>
  <si>
    <t>Daily Date Series</t>
  </si>
  <si>
    <t>Weekday Series</t>
  </si>
  <si>
    <t>Month Series</t>
  </si>
  <si>
    <t>Month-Year Series</t>
  </si>
  <si>
    <t>Custom List Series</t>
  </si>
  <si>
    <t>Key Performance Metrics &amp; Practical Analysis</t>
  </si>
  <si>
    <t>1. Overall Dataset Summary (Mathematical Functions)</t>
  </si>
  <si>
    <t>2. Order Status Breakdown</t>
  </si>
  <si>
    <t>Metric Description</t>
  </si>
  <si>
    <t>Formula / Value</t>
  </si>
  <si>
    <t>Order Count (COUNTIF)</t>
  </si>
  <si>
    <t>Net Sales (SUMIF)</t>
  </si>
  <si>
    <t>Total Quantity Sold</t>
  </si>
  <si>
    <t>Total Sales Amount (Gross)</t>
  </si>
  <si>
    <t>Total Discount Amount</t>
  </si>
  <si>
    <t>Net Revenue / Net Sales</t>
  </si>
  <si>
    <t>Average Unit Price</t>
  </si>
  <si>
    <t>Highest Unit Price</t>
  </si>
  <si>
    <t>3. Sales Performance by Category</t>
  </si>
  <si>
    <t>Lowest Unit Price</t>
  </si>
  <si>
    <t>Category</t>
  </si>
  <si>
    <t>Total Net Sales</t>
  </si>
  <si>
    <t>Average Rating</t>
  </si>
  <si>
    <t>Average Discount %</t>
  </si>
  <si>
    <t>Total Orders Count</t>
  </si>
  <si>
    <t>Date &amp; Time Functions Exercises</t>
  </si>
  <si>
    <t>Order_Year</t>
  </si>
  <si>
    <t>Order_Month</t>
  </si>
  <si>
    <t>Order_Day</t>
  </si>
  <si>
    <t>Day_of_Week</t>
  </si>
  <si>
    <t>Week_Number</t>
  </si>
  <si>
    <t>Delivery_Duration_Days</t>
  </si>
  <si>
    <t>End_of_Month_Date</t>
  </si>
  <si>
    <t>Text &amp; Data Cleaning Functions Exercises</t>
  </si>
  <si>
    <t>Raw_Customer_Name</t>
  </si>
  <si>
    <t>Clean_Name (TRIM/PROPER)</t>
  </si>
  <si>
    <t>Name_Length (LEN)</t>
  </si>
  <si>
    <t>First_3_Chars (LEFT)</t>
  </si>
  <si>
    <t>Last_4_Digits (RIGHT)</t>
  </si>
  <si>
    <t>Full_Location (TEXTJOIN)</t>
  </si>
  <si>
    <t>EXECUTIVE SALES &amp; CUSTOMER MANAGEMENT DASHBOARD</t>
  </si>
  <si>
    <t>Final Practical Examination: Independent Student Assessment</t>
  </si>
  <si>
    <t>Task # &amp; Challenge Title</t>
  </si>
  <si>
    <t>Instructions &amp; Required Deliverable</t>
  </si>
  <si>
    <t>Challenge 1: Top 10 Orders by Net Sales</t>
  </si>
  <si>
    <t>Use Sort &amp; Filter or LARGE() formula to identify the top 10 transactions by revenue.</t>
  </si>
  <si>
    <t>Challenge 2: Top 5 Products by Quantity</t>
  </si>
  <si>
    <t>Create a summary using SUMIF to determine which 5 products had the highest total unit volume.</t>
  </si>
  <si>
    <t>Challenge 3: Highest Sales City</t>
  </si>
  <si>
    <t>Use SUMIF to compare revenue across all 13 cities and identify the top performing region.</t>
  </si>
  <si>
    <t>Challenge 4: Monthly Revenue Trend</t>
  </si>
  <si>
    <t>Extract order month using Date functions and aggregate monthly sales figures.</t>
  </si>
  <si>
    <t>Challenge 5: Top Salesperson</t>
  </si>
  <si>
    <t>Calculate total net sales generated by each sales representative to crown the top performer.</t>
  </si>
  <si>
    <t>Challenge 6: High-Value Loyal Customer Filter</t>
  </si>
  <si>
    <t>Filter rows where Customer_Type = 'Returning', Rating &gt;= 4, and Net_Sales &gt; ₹10,000.</t>
  </si>
  <si>
    <t>Challenge 7: Overdue Delivery Tracking</t>
  </si>
  <si>
    <t>Use formula =AND(Order_Status='Pending', Delivery_Date &lt; TODAY()) to flag delayed shipments.</t>
  </si>
  <si>
    <t>Challenge 8: Multi-Level Order Status Sorting</t>
  </si>
  <si>
    <t>Perform a custom sort: Completed (Top) -&gt; Pending (Middle) -&gt; Cancelled (Bottom).</t>
  </si>
  <si>
    <t>Challenge 9: Key Account Highlight Rule</t>
  </si>
  <si>
    <t>Apply Conditional Formatting formula to highlight rows where Net_Sales &gt; ₹20,000 AND Rating &gt;= 4.</t>
  </si>
  <si>
    <t>Challenge 10: Executive Summary Presentation</t>
  </si>
  <si>
    <t>Combine formulas and visual formatting to build an executive presentation report.</t>
  </si>
  <si>
    <t>Average Order Value</t>
  </si>
  <si>
    <t>New Vs Returning Customer Count</t>
  </si>
  <si>
    <t>Average Delivery Time</t>
  </si>
  <si>
    <t>4. Practical Business Questions and Answers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</si>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</sst>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9">
    <numFmt numFmtId="164" formatCode="dd\-mmm\-yyyy"/>
    <numFmt numFmtId="165" formatCode="[$₹-4009]\ #,##0.00"/>
    <numFmt numFmtId="166" formatCode="0.0%"/>
    <numFmt numFmtId="167" formatCode="0.0&quot; ★&quot;"/>
    <numFmt numFmtId="168" formatCode="mmm\-yyyy"/>
    <numFmt numFmtId="169" formatCode="0&quot; Days&quot;"/>
    <numFmt numFmtId="170" formatCode="#,##0\ &quot;Units&quot;"/>
    <numFmt numFmtId="171" formatCode="#,##0.00\ \★"/>
    <numFmt numFmtId="172" formatCode="#,##0\ &quot;Day&quot;"/>
  </numFmts>
  <fonts count="10" x14ac:knownFonts="1">
    <font>
      <sz val="11"/>
      <color theme="1"/>
      <name val="Calibri"/>
      <family val="2"/>
      <scheme val="minor"/>
    </font>
    <font>
      <b/>
      <sz val="16"/>
      <color rgb="FF1B365D"/>
      <name val="Segoe UI"/>
    </font>
    <font>
      <b/>
      <sz val="13"/>
      <color rgb="FF1B365D"/>
      <name val="Segoe UI"/>
    </font>
    <font>
      <b/>
      <sz val="11"/>
      <name val="Segoe UI"/>
    </font>
    <font>
      <sz val="11"/>
      <name val="Segoe UI"/>
    </font>
    <font>
      <b/>
      <sz val="11"/>
      <color rgb="FFFFFFFF"/>
      <name val="Segoe UI"/>
    </font>
    <font>
      <i/>
      <sz val="10"/>
      <color rgb="FF4A5568"/>
      <name val="Segoe UI"/>
    </font>
    <font>
      <b/>
      <sz val="13"/>
      <color rgb="FF1B365D"/>
      <name val="Segoe UI"/>
      <family val="2"/>
    </font>
    <font>
      <sz val="11"/>
      <color theme="1"/>
      <name val="Segoe UI"/>
      <family val="2"/>
    </font>
    <font>
      <b/>
      <sz val="11"/>
      <color theme="0"/>
      <name val="Segoe UI"/>
      <family val="2"/>
    </font>
  </fonts>
  <fills count="5">
    <fill>
      <patternFill patternType="none"/>
    </fill>
    <fill>
      <patternFill patternType="gray125"/>
    </fill>
    <fill>
      <patternFill patternType="solid">
        <fgColor rgb="FF1B365D"/>
        <bgColor rgb="FF1B365D"/>
      </patternFill>
    </fill>
    <fill>
      <patternFill patternType="solid">
        <fgColor rgb="FFFFFFFF"/>
        <bgColor rgb="FFFFFFFF"/>
      </patternFill>
    </fill>
    <fill>
      <patternFill patternType="solid">
        <fgColor rgb="FF00022E"/>
        <bgColor indexed="64"/>
      </patternFill>
    </fill>
  </fills>
  <borders count="3">
    <border>
      <left/>
      <right/>
      <top/>
      <bottom/>
      <diagonal/>
    </border>
    <border>
      <left style="thin">
        <color rgb="FFD2D6DC"/>
      </left>
      <right style="thin">
        <color rgb="FFD2D6DC"/>
      </right>
      <top style="thin">
        <color rgb="FFD2D6DC"/>
      </top>
      <bottom style="thin">
        <color rgb="FFD2D6DC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6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6" fillId="0" borderId="0" xfId="0" applyFont="1"/>
    <xf numFmtId="0" fontId="3" fillId="0" borderId="0" xfId="0" applyFont="1" applyAlignment="1">
      <alignment horizontal="left" vertical="center"/>
    </xf>
    <xf numFmtId="0" fontId="0" fillId="3" borderId="1" xfId="0" applyFill="1" applyBorder="1" applyAlignment="1">
      <alignment horizontal="left" vertical="center"/>
    </xf>
    <xf numFmtId="0" fontId="5" fillId="2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5" fillId="2" borderId="0" xfId="0" applyFont="1" applyFill="1"/>
    <xf numFmtId="0" fontId="4" fillId="0" borderId="1" xfId="0" applyFont="1" applyBorder="1"/>
    <xf numFmtId="0" fontId="3" fillId="0" borderId="1" xfId="0" applyFont="1" applyBorder="1" applyAlignment="1">
      <alignment horizontal="right"/>
    </xf>
    <xf numFmtId="0" fontId="4" fillId="0" borderId="1" xfId="0" applyFont="1" applyBorder="1" applyAlignment="1">
      <alignment horizontal="right"/>
    </xf>
    <xf numFmtId="165" fontId="3" fillId="0" borderId="1" xfId="0" applyNumberFormat="1" applyFont="1" applyBorder="1" applyAlignment="1">
      <alignment horizontal="right"/>
    </xf>
    <xf numFmtId="166" fontId="3" fillId="0" borderId="1" xfId="0" applyNumberFormat="1" applyFont="1" applyBorder="1" applyAlignment="1">
      <alignment horizontal="right"/>
    </xf>
    <xf numFmtId="167" fontId="4" fillId="0" borderId="1" xfId="0" applyNumberFormat="1" applyFont="1" applyBorder="1" applyAlignment="1">
      <alignment horizontal="right"/>
    </xf>
    <xf numFmtId="3" fontId="3" fillId="0" borderId="1" xfId="0" applyNumberFormat="1" applyFont="1" applyBorder="1" applyAlignment="1">
      <alignment horizontal="right"/>
    </xf>
    <xf numFmtId="169" fontId="0" fillId="0" borderId="0" xfId="0" applyNumberFormat="1" applyAlignment="1">
      <alignment horizontal="center"/>
    </xf>
    <xf numFmtId="0" fontId="3" fillId="0" borderId="1" xfId="0" applyFont="1" applyBorder="1"/>
    <xf numFmtId="165" fontId="0" fillId="0" borderId="0" xfId="0" applyNumberFormat="1"/>
    <xf numFmtId="170" fontId="0" fillId="0" borderId="0" xfId="0" applyNumberFormat="1"/>
    <xf numFmtId="171" fontId="0" fillId="0" borderId="0" xfId="0" applyNumberFormat="1"/>
    <xf numFmtId="14" fontId="0" fillId="0" borderId="0" xfId="0" applyNumberFormat="1"/>
    <xf numFmtId="0" fontId="7" fillId="0" borderId="0" xfId="0" applyFont="1"/>
    <xf numFmtId="172" fontId="3" fillId="0" borderId="1" xfId="0" applyNumberFormat="1" applyFont="1" applyBorder="1" applyAlignment="1">
      <alignment horizontal="right"/>
    </xf>
    <xf numFmtId="0" fontId="0" fillId="0" borderId="0" xfId="0" applyAlignment="1">
      <alignment horizontal="center" vertical="center" wrapText="1"/>
    </xf>
    <xf numFmtId="0" fontId="9" fillId="4" borderId="2" xfId="0" applyFont="1" applyFill="1" applyBorder="1" applyAlignment="1">
      <alignment horizontal="center" vertical="center" wrapText="1"/>
    </xf>
    <xf numFmtId="14" fontId="9" fillId="4" borderId="2" xfId="0" applyNumberFormat="1" applyFont="1" applyFill="1" applyBorder="1" applyAlignment="1">
      <alignment horizontal="center" vertical="center" wrapText="1"/>
    </xf>
    <xf numFmtId="0" fontId="8" fillId="0" borderId="2" xfId="0" applyFont="1" applyFill="1" applyBorder="1" applyAlignment="1"/>
    <xf numFmtId="0" fontId="8" fillId="0" borderId="2" xfId="0" applyFont="1" applyFill="1" applyBorder="1" applyAlignment="1">
      <alignment horizontal="center"/>
    </xf>
    <xf numFmtId="14" fontId="8" fillId="0" borderId="2" xfId="0" applyNumberFormat="1" applyFont="1" applyFill="1" applyBorder="1" applyAlignment="1">
      <alignment horizontal="center"/>
    </xf>
    <xf numFmtId="0" fontId="8" fillId="0" borderId="2" xfId="0" applyFont="1" applyFill="1" applyBorder="1" applyAlignment="1">
      <alignment horizontal="right"/>
    </xf>
    <xf numFmtId="0" fontId="8" fillId="0" borderId="2" xfId="0" applyFont="1" applyFill="1" applyBorder="1" applyAlignment="1">
      <alignment horizontal="left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2D6DC"/>
      <color rgb="FF00022E"/>
      <color rgb="FFFFFFFF"/>
      <color rgb="FFF8F8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23"/>
  <sheetViews>
    <sheetView workbookViewId="0">
      <selection activeCell="A25" sqref="A25"/>
    </sheetView>
  </sheetViews>
  <sheetFormatPr defaultRowHeight="15" x14ac:dyDescent="0.25"/>
  <cols>
    <col min="1" max="1" width="40" customWidth="1"/>
    <col min="2" max="2" width="59" customWidth="1"/>
  </cols>
  <sheetData>
    <row r="1" spans="1:2" ht="25.5" x14ac:dyDescent="0.5">
      <c r="A1" s="1" t="s">
        <v>0</v>
      </c>
    </row>
    <row r="3" spans="1:2" ht="18.75" x14ac:dyDescent="0.35">
      <c r="A3" s="2" t="s">
        <v>1</v>
      </c>
    </row>
    <row r="4" spans="1:2" ht="16.5" x14ac:dyDescent="0.3">
      <c r="A4" s="3" t="s">
        <v>2</v>
      </c>
      <c r="B4" s="4" t="s">
        <v>3</v>
      </c>
    </row>
    <row r="5" spans="1:2" ht="16.5" x14ac:dyDescent="0.3">
      <c r="A5" s="3" t="s">
        <v>4</v>
      </c>
      <c r="B5" s="4" t="s">
        <v>5</v>
      </c>
    </row>
    <row r="6" spans="1:2" ht="16.5" x14ac:dyDescent="0.3">
      <c r="B6" s="4"/>
    </row>
    <row r="7" spans="1:2" ht="16.5" x14ac:dyDescent="0.3">
      <c r="A7" s="3" t="s">
        <v>6</v>
      </c>
      <c r="B7" s="4"/>
    </row>
    <row r="8" spans="1:2" ht="16.5" x14ac:dyDescent="0.3">
      <c r="A8" s="3" t="s">
        <v>7</v>
      </c>
      <c r="B8" s="4" t="s">
        <v>8</v>
      </c>
    </row>
    <row r="9" spans="1:2" ht="16.5" x14ac:dyDescent="0.3">
      <c r="A9" s="3" t="s">
        <v>9</v>
      </c>
      <c r="B9" s="4" t="s">
        <v>10</v>
      </c>
    </row>
    <row r="10" spans="1:2" ht="16.5" x14ac:dyDescent="0.3">
      <c r="A10" s="3" t="s">
        <v>11</v>
      </c>
      <c r="B10" s="4" t="s">
        <v>12</v>
      </c>
    </row>
    <row r="11" spans="1:2" ht="16.5" x14ac:dyDescent="0.3">
      <c r="A11" s="3" t="s">
        <v>13</v>
      </c>
      <c r="B11" s="4" t="s">
        <v>14</v>
      </c>
    </row>
    <row r="12" spans="1:2" ht="16.5" x14ac:dyDescent="0.3">
      <c r="A12" s="3" t="s">
        <v>15</v>
      </c>
      <c r="B12" s="4" t="s">
        <v>16</v>
      </c>
    </row>
    <row r="13" spans="1:2" ht="16.5" x14ac:dyDescent="0.3">
      <c r="A13" s="3" t="s">
        <v>17</v>
      </c>
      <c r="B13" s="4" t="s">
        <v>18</v>
      </c>
    </row>
    <row r="14" spans="1:2" ht="16.5" x14ac:dyDescent="0.3">
      <c r="A14" s="3" t="s">
        <v>19</v>
      </c>
      <c r="B14" s="4" t="s">
        <v>20</v>
      </c>
    </row>
    <row r="15" spans="1:2" ht="16.5" x14ac:dyDescent="0.3">
      <c r="A15" s="3" t="s">
        <v>21</v>
      </c>
      <c r="B15" s="4" t="s">
        <v>22</v>
      </c>
    </row>
    <row r="16" spans="1:2" ht="16.5" x14ac:dyDescent="0.3">
      <c r="A16" s="3" t="s">
        <v>23</v>
      </c>
      <c r="B16" s="4" t="s">
        <v>24</v>
      </c>
    </row>
    <row r="17" spans="1:14" ht="16.5" x14ac:dyDescent="0.3">
      <c r="B17" s="4"/>
    </row>
    <row r="18" spans="1:14" ht="16.5" x14ac:dyDescent="0.3">
      <c r="A18" s="3"/>
      <c r="B18" s="4"/>
      <c r="J18" s="22"/>
    </row>
    <row r="19" spans="1:14" ht="16.5" x14ac:dyDescent="0.3">
      <c r="A19" s="3"/>
      <c r="B19" s="4"/>
    </row>
    <row r="20" spans="1:14" ht="16.5" x14ac:dyDescent="0.3">
      <c r="A20" s="3"/>
      <c r="B20" s="4"/>
      <c r="J20" s="23"/>
      <c r="L20" s="24"/>
      <c r="N20" s="24"/>
    </row>
    <row r="21" spans="1:14" ht="16.5" x14ac:dyDescent="0.3">
      <c r="A21" s="3"/>
      <c r="B21" s="4"/>
      <c r="J21" s="23"/>
      <c r="L21" s="24"/>
      <c r="N21" s="24"/>
    </row>
    <row r="22" spans="1:14" ht="16.5" x14ac:dyDescent="0.3">
      <c r="A22" s="3"/>
      <c r="B22" s="4"/>
      <c r="J22" s="23"/>
      <c r="L22" s="24"/>
      <c r="N22" s="24"/>
    </row>
    <row r="23" spans="1:14" x14ac:dyDescent="0.25">
      <c r="J23" s="23"/>
      <c r="L23" s="24"/>
      <c r="N23" s="24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V101"/>
  <sheetViews>
    <sheetView topLeftCell="H79" zoomScale="99" zoomScaleNormal="62" workbookViewId="0">
      <selection activeCell="R7" sqref="R7"/>
    </sheetView>
  </sheetViews>
  <sheetFormatPr defaultRowHeight="15" x14ac:dyDescent="0.25"/>
  <cols>
    <col min="1" max="1" width="12" customWidth="1"/>
    <col min="2" max="2" width="14" style="25" customWidth="1"/>
    <col min="3" max="3" width="23" customWidth="1"/>
    <col min="4" max="5" width="12" customWidth="1"/>
    <col min="6" max="6" width="14" customWidth="1"/>
    <col min="7" max="7" width="15" customWidth="1"/>
    <col min="8" max="8" width="20" customWidth="1"/>
    <col min="9" max="9" width="17" customWidth="1"/>
    <col min="10" max="10" width="18" customWidth="1"/>
    <col min="11" max="11" width="12" customWidth="1"/>
    <col min="12" max="12" width="14" customWidth="1"/>
    <col min="13" max="13" width="12" customWidth="1"/>
    <col min="14" max="15" width="16" customWidth="1"/>
    <col min="16" max="16" width="17" customWidth="1"/>
    <col min="17" max="17" width="12" customWidth="1"/>
    <col min="18" max="18" width="17" customWidth="1"/>
    <col min="19" max="19" width="29" customWidth="1"/>
    <col min="20" max="20" width="16" customWidth="1"/>
    <col min="21" max="21" width="19" customWidth="1"/>
    <col min="22" max="22" width="14" customWidth="1"/>
  </cols>
  <sheetData>
    <row r="1" spans="1:22" s="28" customFormat="1" ht="27.95" customHeight="1" x14ac:dyDescent="0.25">
      <c r="A1" s="29" t="s">
        <v>25</v>
      </c>
      <c r="B1" s="30" t="s">
        <v>26</v>
      </c>
      <c r="C1" s="29" t="s">
        <v>27</v>
      </c>
      <c r="D1" s="29" t="s">
        <v>28</v>
      </c>
      <c r="E1" s="29" t="s">
        <v>29</v>
      </c>
      <c r="F1" s="29" t="s">
        <v>30</v>
      </c>
      <c r="G1" s="29" t="s">
        <v>31</v>
      </c>
      <c r="H1" s="29" t="s">
        <v>32</v>
      </c>
      <c r="I1" s="29" t="s">
        <v>33</v>
      </c>
      <c r="J1" s="29" t="s">
        <v>34</v>
      </c>
      <c r="K1" s="29" t="s">
        <v>35</v>
      </c>
      <c r="L1" s="29" t="s">
        <v>36</v>
      </c>
      <c r="M1" s="29" t="s">
        <v>37</v>
      </c>
      <c r="N1" s="29" t="s">
        <v>38</v>
      </c>
      <c r="O1" s="29" t="s">
        <v>39</v>
      </c>
      <c r="P1" s="29" t="s">
        <v>40</v>
      </c>
      <c r="Q1" s="29" t="s">
        <v>41</v>
      </c>
      <c r="R1" s="29" t="s">
        <v>42</v>
      </c>
      <c r="S1" s="29" t="s">
        <v>43</v>
      </c>
      <c r="T1" s="29" t="s">
        <v>44</v>
      </c>
      <c r="U1" s="29" t="s">
        <v>45</v>
      </c>
      <c r="V1" s="29" t="s">
        <v>46</v>
      </c>
    </row>
    <row r="2" spans="1:22" ht="20.100000000000001" customHeight="1" x14ac:dyDescent="0.3">
      <c r="A2" s="31" t="s">
        <v>47</v>
      </c>
      <c r="B2" s="33">
        <v>46186</v>
      </c>
      <c r="C2" s="35" t="s">
        <v>48</v>
      </c>
      <c r="D2" s="32" t="s">
        <v>49</v>
      </c>
      <c r="E2" s="34">
        <v>36</v>
      </c>
      <c r="F2" s="32" t="s">
        <v>50</v>
      </c>
      <c r="G2" s="32" t="s">
        <v>51</v>
      </c>
      <c r="H2" s="35" t="s">
        <v>52</v>
      </c>
      <c r="I2" s="35" t="s">
        <v>53</v>
      </c>
      <c r="J2" s="35" t="s">
        <v>54</v>
      </c>
      <c r="K2" s="34">
        <v>24</v>
      </c>
      <c r="L2" s="34">
        <v>55000</v>
      </c>
      <c r="M2" s="34">
        <v>0.2</v>
      </c>
      <c r="N2" s="32" t="s">
        <v>55</v>
      </c>
      <c r="O2" s="32" t="s">
        <v>56</v>
      </c>
      <c r="P2" s="33">
        <v>46187</v>
      </c>
      <c r="Q2" s="34">
        <v>1</v>
      </c>
      <c r="R2" s="32" t="s">
        <v>57</v>
      </c>
      <c r="S2" s="35" t="s">
        <v>58</v>
      </c>
      <c r="T2" s="34">
        <f t="shared" ref="T2:T33" si="0">K2*L2</f>
        <v>1320000</v>
      </c>
      <c r="U2" s="34">
        <f t="shared" ref="U2:U33" si="1">T2*M2</f>
        <v>264000</v>
      </c>
      <c r="V2" s="34">
        <f t="shared" ref="V2:V33" si="2">T2-U2</f>
        <v>1056000</v>
      </c>
    </row>
    <row r="3" spans="1:22" ht="20.100000000000001" customHeight="1" x14ac:dyDescent="0.3">
      <c r="A3" s="31" t="s">
        <v>59</v>
      </c>
      <c r="B3" s="33">
        <v>46078</v>
      </c>
      <c r="C3" s="35" t="s">
        <v>60</v>
      </c>
      <c r="D3" s="32" t="s">
        <v>61</v>
      </c>
      <c r="E3" s="34">
        <v>56</v>
      </c>
      <c r="F3" s="32" t="s">
        <v>50</v>
      </c>
      <c r="G3" s="32" t="s">
        <v>51</v>
      </c>
      <c r="H3" s="35" t="s">
        <v>62</v>
      </c>
      <c r="I3" s="35" t="s">
        <v>63</v>
      </c>
      <c r="J3" s="35" t="s">
        <v>64</v>
      </c>
      <c r="K3" s="34">
        <v>8</v>
      </c>
      <c r="L3" s="34">
        <v>250</v>
      </c>
      <c r="M3" s="34">
        <v>0.15</v>
      </c>
      <c r="N3" s="32" t="s">
        <v>65</v>
      </c>
      <c r="O3" s="32" t="s">
        <v>56</v>
      </c>
      <c r="P3" s="33">
        <v>46080</v>
      </c>
      <c r="Q3" s="34">
        <v>1</v>
      </c>
      <c r="R3" s="32" t="s">
        <v>57</v>
      </c>
      <c r="S3" s="35" t="s">
        <v>66</v>
      </c>
      <c r="T3" s="34">
        <f t="shared" si="0"/>
        <v>2000</v>
      </c>
      <c r="U3" s="34">
        <f t="shared" si="1"/>
        <v>300</v>
      </c>
      <c r="V3" s="34">
        <f t="shared" si="2"/>
        <v>1700</v>
      </c>
    </row>
    <row r="4" spans="1:22" ht="20.100000000000001" customHeight="1" x14ac:dyDescent="0.3">
      <c r="A4" s="31" t="s">
        <v>67</v>
      </c>
      <c r="B4" s="33">
        <v>46131</v>
      </c>
      <c r="C4" s="35" t="s">
        <v>68</v>
      </c>
      <c r="D4" s="32" t="s">
        <v>61</v>
      </c>
      <c r="E4" s="34">
        <v>34</v>
      </c>
      <c r="F4" s="32" t="s">
        <v>69</v>
      </c>
      <c r="G4" s="32" t="s">
        <v>70</v>
      </c>
      <c r="H4" s="35" t="s">
        <v>71</v>
      </c>
      <c r="I4" s="35" t="s">
        <v>72</v>
      </c>
      <c r="J4" s="35" t="s">
        <v>73</v>
      </c>
      <c r="K4" s="34">
        <v>13</v>
      </c>
      <c r="L4" s="34">
        <v>150</v>
      </c>
      <c r="M4" s="34">
        <v>0</v>
      </c>
      <c r="N4" s="32" t="s">
        <v>74</v>
      </c>
      <c r="O4" s="32" t="s">
        <v>75</v>
      </c>
      <c r="P4" s="33">
        <v>46134</v>
      </c>
      <c r="Q4" s="34">
        <v>5</v>
      </c>
      <c r="R4" s="32" t="s">
        <v>76</v>
      </c>
      <c r="S4" s="35" t="s">
        <v>77</v>
      </c>
      <c r="T4" s="34">
        <f t="shared" si="0"/>
        <v>1950</v>
      </c>
      <c r="U4" s="34">
        <f t="shared" si="1"/>
        <v>0</v>
      </c>
      <c r="V4" s="34">
        <f t="shared" si="2"/>
        <v>1950</v>
      </c>
    </row>
    <row r="5" spans="1:22" ht="20.100000000000001" customHeight="1" x14ac:dyDescent="0.3">
      <c r="A5" s="31" t="s">
        <v>78</v>
      </c>
      <c r="B5" s="33">
        <v>46034</v>
      </c>
      <c r="C5" s="35" t="s">
        <v>79</v>
      </c>
      <c r="D5" s="32" t="s">
        <v>61</v>
      </c>
      <c r="E5" s="34">
        <v>45</v>
      </c>
      <c r="F5" s="32" t="s">
        <v>80</v>
      </c>
      <c r="G5" s="32" t="s">
        <v>51</v>
      </c>
      <c r="H5" s="35" t="s">
        <v>62</v>
      </c>
      <c r="I5" s="35" t="s">
        <v>81</v>
      </c>
      <c r="J5" s="35" t="s">
        <v>82</v>
      </c>
      <c r="K5" s="34">
        <v>21</v>
      </c>
      <c r="L5" s="34">
        <v>750</v>
      </c>
      <c r="M5" s="34">
        <v>0.2</v>
      </c>
      <c r="N5" s="32" t="s">
        <v>74</v>
      </c>
      <c r="O5" s="32" t="s">
        <v>56</v>
      </c>
      <c r="P5" s="33">
        <v>46040</v>
      </c>
      <c r="Q5" s="34">
        <v>1</v>
      </c>
      <c r="R5" s="32" t="s">
        <v>57</v>
      </c>
      <c r="S5" s="35" t="s">
        <v>66</v>
      </c>
      <c r="T5" s="34">
        <f t="shared" si="0"/>
        <v>15750</v>
      </c>
      <c r="U5" s="34">
        <f t="shared" si="1"/>
        <v>3150</v>
      </c>
      <c r="V5" s="34">
        <f t="shared" si="2"/>
        <v>12600</v>
      </c>
    </row>
    <row r="6" spans="1:22" ht="20.100000000000001" customHeight="1" x14ac:dyDescent="0.3">
      <c r="A6" s="31" t="s">
        <v>83</v>
      </c>
      <c r="B6" s="33">
        <v>46081</v>
      </c>
      <c r="C6" s="35" t="s">
        <v>84</v>
      </c>
      <c r="D6" s="32" t="s">
        <v>61</v>
      </c>
      <c r="E6" s="34">
        <v>35</v>
      </c>
      <c r="F6" s="32" t="s">
        <v>80</v>
      </c>
      <c r="G6" s="32" t="s">
        <v>51</v>
      </c>
      <c r="H6" s="35" t="s">
        <v>71</v>
      </c>
      <c r="I6" s="35" t="s">
        <v>85</v>
      </c>
      <c r="J6" s="35" t="s">
        <v>64</v>
      </c>
      <c r="K6" s="34">
        <v>21</v>
      </c>
      <c r="L6" s="34">
        <v>85</v>
      </c>
      <c r="M6" s="34">
        <v>0.1</v>
      </c>
      <c r="N6" s="32" t="s">
        <v>86</v>
      </c>
      <c r="O6" s="32" t="s">
        <v>56</v>
      </c>
      <c r="P6" s="33">
        <v>46088</v>
      </c>
      <c r="Q6" s="34">
        <v>2</v>
      </c>
      <c r="R6" s="32" t="s">
        <v>76</v>
      </c>
      <c r="S6" s="35" t="s">
        <v>66</v>
      </c>
      <c r="T6" s="34">
        <f t="shared" si="0"/>
        <v>1785</v>
      </c>
      <c r="U6" s="34">
        <f t="shared" si="1"/>
        <v>178.5</v>
      </c>
      <c r="V6" s="34">
        <f t="shared" si="2"/>
        <v>1606.5</v>
      </c>
    </row>
    <row r="7" spans="1:22" ht="20.100000000000001" customHeight="1" x14ac:dyDescent="0.3">
      <c r="A7" s="31" t="s">
        <v>87</v>
      </c>
      <c r="B7" s="33">
        <v>46262</v>
      </c>
      <c r="C7" s="35" t="s">
        <v>88</v>
      </c>
      <c r="D7" s="32" t="s">
        <v>61</v>
      </c>
      <c r="E7" s="34">
        <v>59</v>
      </c>
      <c r="F7" s="32" t="s">
        <v>89</v>
      </c>
      <c r="G7" s="32" t="s">
        <v>90</v>
      </c>
      <c r="H7" s="35" t="s">
        <v>52</v>
      </c>
      <c r="I7" s="35" t="s">
        <v>91</v>
      </c>
      <c r="J7" s="35" t="s">
        <v>54</v>
      </c>
      <c r="K7" s="34">
        <v>8</v>
      </c>
      <c r="L7" s="34">
        <v>12500</v>
      </c>
      <c r="M7" s="34">
        <v>0.05</v>
      </c>
      <c r="N7" s="32" t="s">
        <v>92</v>
      </c>
      <c r="O7" s="32" t="s">
        <v>56</v>
      </c>
      <c r="P7" s="33">
        <v>46268</v>
      </c>
      <c r="Q7" s="34">
        <v>5</v>
      </c>
      <c r="R7" s="32" t="s">
        <v>57</v>
      </c>
      <c r="S7" s="35" t="s">
        <v>66</v>
      </c>
      <c r="T7" s="34">
        <f t="shared" si="0"/>
        <v>100000</v>
      </c>
      <c r="U7" s="34">
        <f t="shared" si="1"/>
        <v>5000</v>
      </c>
      <c r="V7" s="34">
        <f t="shared" si="2"/>
        <v>95000</v>
      </c>
    </row>
    <row r="8" spans="1:22" ht="20.100000000000001" customHeight="1" x14ac:dyDescent="0.3">
      <c r="A8" s="31" t="s">
        <v>93</v>
      </c>
      <c r="B8" s="33">
        <v>46106</v>
      </c>
      <c r="C8" s="35" t="s">
        <v>94</v>
      </c>
      <c r="D8" s="32" t="s">
        <v>61</v>
      </c>
      <c r="E8" s="34">
        <v>35</v>
      </c>
      <c r="F8" s="32" t="s">
        <v>95</v>
      </c>
      <c r="G8" s="32" t="s">
        <v>51</v>
      </c>
      <c r="H8" s="35" t="s">
        <v>71</v>
      </c>
      <c r="I8" s="35" t="s">
        <v>96</v>
      </c>
      <c r="J8" s="35" t="s">
        <v>97</v>
      </c>
      <c r="K8" s="34">
        <v>3</v>
      </c>
      <c r="L8" s="34">
        <v>450</v>
      </c>
      <c r="M8" s="34">
        <v>0.05</v>
      </c>
      <c r="N8" s="32" t="s">
        <v>65</v>
      </c>
      <c r="O8" s="32" t="s">
        <v>75</v>
      </c>
      <c r="P8" s="33">
        <v>46113</v>
      </c>
      <c r="Q8" s="34">
        <v>3</v>
      </c>
      <c r="R8" s="32" t="s">
        <v>57</v>
      </c>
      <c r="S8" s="35" t="s">
        <v>66</v>
      </c>
      <c r="T8" s="34">
        <f t="shared" si="0"/>
        <v>1350</v>
      </c>
      <c r="U8" s="34">
        <f t="shared" si="1"/>
        <v>67.5</v>
      </c>
      <c r="V8" s="34">
        <f t="shared" si="2"/>
        <v>1282.5</v>
      </c>
    </row>
    <row r="9" spans="1:22" ht="20.100000000000001" customHeight="1" x14ac:dyDescent="0.3">
      <c r="A9" s="31" t="s">
        <v>98</v>
      </c>
      <c r="B9" s="33">
        <v>46150</v>
      </c>
      <c r="C9" s="35" t="s">
        <v>88</v>
      </c>
      <c r="D9" s="32" t="s">
        <v>49</v>
      </c>
      <c r="E9" s="34">
        <v>30</v>
      </c>
      <c r="F9" s="32" t="s">
        <v>99</v>
      </c>
      <c r="G9" s="32" t="s">
        <v>51</v>
      </c>
      <c r="H9" s="35" t="s">
        <v>52</v>
      </c>
      <c r="I9" s="35" t="s">
        <v>100</v>
      </c>
      <c r="J9" s="35" t="s">
        <v>54</v>
      </c>
      <c r="K9" s="34">
        <v>18</v>
      </c>
      <c r="L9" s="34">
        <v>1200</v>
      </c>
      <c r="M9" s="34">
        <v>0.2</v>
      </c>
      <c r="N9" s="32" t="s">
        <v>74</v>
      </c>
      <c r="O9" s="32" t="s">
        <v>75</v>
      </c>
      <c r="P9" s="33">
        <v>46154</v>
      </c>
      <c r="Q9" s="34">
        <v>4</v>
      </c>
      <c r="R9" s="32" t="s">
        <v>76</v>
      </c>
      <c r="S9" s="35" t="s">
        <v>101</v>
      </c>
      <c r="T9" s="34">
        <f t="shared" si="0"/>
        <v>21600</v>
      </c>
      <c r="U9" s="34">
        <f t="shared" si="1"/>
        <v>4320</v>
      </c>
      <c r="V9" s="34">
        <f t="shared" si="2"/>
        <v>17280</v>
      </c>
    </row>
    <row r="10" spans="1:22" ht="20.100000000000001" customHeight="1" x14ac:dyDescent="0.3">
      <c r="A10" s="31" t="s">
        <v>102</v>
      </c>
      <c r="B10" s="33">
        <v>46079</v>
      </c>
      <c r="C10" s="35" t="s">
        <v>60</v>
      </c>
      <c r="D10" s="32" t="s">
        <v>49</v>
      </c>
      <c r="E10" s="34">
        <v>26</v>
      </c>
      <c r="F10" s="32" t="s">
        <v>69</v>
      </c>
      <c r="G10" s="32" t="s">
        <v>70</v>
      </c>
      <c r="H10" s="35" t="s">
        <v>52</v>
      </c>
      <c r="I10" s="35" t="s">
        <v>53</v>
      </c>
      <c r="J10" s="35" t="s">
        <v>103</v>
      </c>
      <c r="K10" s="34">
        <v>21</v>
      </c>
      <c r="L10" s="34">
        <v>55000</v>
      </c>
      <c r="M10" s="34">
        <v>0.05</v>
      </c>
      <c r="N10" s="32" t="s">
        <v>92</v>
      </c>
      <c r="O10" s="32" t="s">
        <v>56</v>
      </c>
      <c r="P10" s="33">
        <v>46081</v>
      </c>
      <c r="Q10" s="34">
        <v>4</v>
      </c>
      <c r="R10" s="32" t="s">
        <v>76</v>
      </c>
      <c r="S10" s="35" t="s">
        <v>104</v>
      </c>
      <c r="T10" s="34">
        <f t="shared" si="0"/>
        <v>1155000</v>
      </c>
      <c r="U10" s="34">
        <f t="shared" si="1"/>
        <v>57750</v>
      </c>
      <c r="V10" s="34">
        <f t="shared" si="2"/>
        <v>1097250</v>
      </c>
    </row>
    <row r="11" spans="1:22" ht="20.100000000000001" customHeight="1" x14ac:dyDescent="0.3">
      <c r="A11" s="31" t="s">
        <v>105</v>
      </c>
      <c r="B11" s="33">
        <v>46142</v>
      </c>
      <c r="C11" s="35" t="s">
        <v>68</v>
      </c>
      <c r="D11" s="32" t="s">
        <v>61</v>
      </c>
      <c r="E11" s="34">
        <v>28</v>
      </c>
      <c r="F11" s="32" t="s">
        <v>89</v>
      </c>
      <c r="G11" s="32" t="s">
        <v>90</v>
      </c>
      <c r="H11" s="35" t="s">
        <v>62</v>
      </c>
      <c r="I11" s="35" t="s">
        <v>81</v>
      </c>
      <c r="J11" s="35" t="s">
        <v>82</v>
      </c>
      <c r="K11" s="34">
        <v>21</v>
      </c>
      <c r="L11" s="34">
        <v>750</v>
      </c>
      <c r="M11" s="34">
        <v>0.1</v>
      </c>
      <c r="N11" s="32" t="s">
        <v>55</v>
      </c>
      <c r="O11" s="32" t="s">
        <v>56</v>
      </c>
      <c r="P11" s="33">
        <v>46147</v>
      </c>
      <c r="Q11" s="34">
        <v>2</v>
      </c>
      <c r="R11" s="32" t="s">
        <v>76</v>
      </c>
      <c r="S11" s="35" t="s">
        <v>58</v>
      </c>
      <c r="T11" s="34">
        <f t="shared" si="0"/>
        <v>15750</v>
      </c>
      <c r="U11" s="34">
        <f t="shared" si="1"/>
        <v>1575</v>
      </c>
      <c r="V11" s="34">
        <f t="shared" si="2"/>
        <v>14175</v>
      </c>
    </row>
    <row r="12" spans="1:22" ht="20.100000000000001" customHeight="1" x14ac:dyDescent="0.3">
      <c r="A12" s="31" t="s">
        <v>106</v>
      </c>
      <c r="B12" s="33">
        <v>46207</v>
      </c>
      <c r="C12" s="35" t="s">
        <v>68</v>
      </c>
      <c r="D12" s="32" t="s">
        <v>61</v>
      </c>
      <c r="E12" s="34">
        <v>53</v>
      </c>
      <c r="F12" s="32" t="s">
        <v>80</v>
      </c>
      <c r="G12" s="32" t="s">
        <v>51</v>
      </c>
      <c r="H12" s="35" t="s">
        <v>62</v>
      </c>
      <c r="I12" s="35" t="s">
        <v>81</v>
      </c>
      <c r="J12" s="35" t="s">
        <v>82</v>
      </c>
      <c r="K12" s="34">
        <v>21</v>
      </c>
      <c r="L12" s="34">
        <v>750</v>
      </c>
      <c r="M12" s="34">
        <v>0.2</v>
      </c>
      <c r="N12" s="32" t="s">
        <v>65</v>
      </c>
      <c r="O12" s="32" t="s">
        <v>56</v>
      </c>
      <c r="P12" s="33">
        <v>46213</v>
      </c>
      <c r="Q12" s="34">
        <v>3</v>
      </c>
      <c r="R12" s="32" t="s">
        <v>57</v>
      </c>
      <c r="S12" s="35" t="s">
        <v>104</v>
      </c>
      <c r="T12" s="34">
        <f t="shared" si="0"/>
        <v>15750</v>
      </c>
      <c r="U12" s="34">
        <f t="shared" si="1"/>
        <v>3150</v>
      </c>
      <c r="V12" s="34">
        <f t="shared" si="2"/>
        <v>12600</v>
      </c>
    </row>
    <row r="13" spans="1:22" ht="20.100000000000001" customHeight="1" x14ac:dyDescent="0.3">
      <c r="A13" s="31" t="s">
        <v>107</v>
      </c>
      <c r="B13" s="33">
        <v>46222</v>
      </c>
      <c r="C13" s="35" t="s">
        <v>108</v>
      </c>
      <c r="D13" s="32" t="s">
        <v>49</v>
      </c>
      <c r="E13" s="34">
        <v>52</v>
      </c>
      <c r="F13" s="32" t="s">
        <v>95</v>
      </c>
      <c r="G13" s="32" t="s">
        <v>51</v>
      </c>
      <c r="H13" s="35" t="s">
        <v>52</v>
      </c>
      <c r="I13" s="35" t="s">
        <v>109</v>
      </c>
      <c r="J13" s="35" t="s">
        <v>82</v>
      </c>
      <c r="K13" s="34">
        <v>10</v>
      </c>
      <c r="L13" s="34">
        <v>650</v>
      </c>
      <c r="M13" s="34">
        <v>0.05</v>
      </c>
      <c r="N13" s="32" t="s">
        <v>55</v>
      </c>
      <c r="O13" s="32" t="s">
        <v>56</v>
      </c>
      <c r="P13" s="33">
        <v>46227</v>
      </c>
      <c r="Q13" s="34">
        <v>5</v>
      </c>
      <c r="R13" s="32" t="s">
        <v>57</v>
      </c>
      <c r="S13" s="35" t="s">
        <v>58</v>
      </c>
      <c r="T13" s="34">
        <f t="shared" si="0"/>
        <v>6500</v>
      </c>
      <c r="U13" s="34">
        <f t="shared" si="1"/>
        <v>325</v>
      </c>
      <c r="V13" s="34">
        <f t="shared" si="2"/>
        <v>6175</v>
      </c>
    </row>
    <row r="14" spans="1:22" ht="20.100000000000001" customHeight="1" x14ac:dyDescent="0.3">
      <c r="A14" s="31" t="s">
        <v>110</v>
      </c>
      <c r="B14" s="33">
        <v>46210</v>
      </c>
      <c r="C14" s="35" t="s">
        <v>111</v>
      </c>
      <c r="D14" s="32" t="s">
        <v>61</v>
      </c>
      <c r="E14" s="34">
        <v>29</v>
      </c>
      <c r="F14" s="32" t="s">
        <v>89</v>
      </c>
      <c r="G14" s="32" t="s">
        <v>90</v>
      </c>
      <c r="H14" s="35" t="s">
        <v>71</v>
      </c>
      <c r="I14" s="35" t="s">
        <v>112</v>
      </c>
      <c r="J14" s="35" t="s">
        <v>103</v>
      </c>
      <c r="K14" s="34">
        <v>9</v>
      </c>
      <c r="L14" s="34">
        <v>320</v>
      </c>
      <c r="M14" s="34">
        <v>0.2</v>
      </c>
      <c r="N14" s="32" t="s">
        <v>65</v>
      </c>
      <c r="O14" s="32" t="s">
        <v>56</v>
      </c>
      <c r="P14" s="33">
        <v>46214</v>
      </c>
      <c r="Q14" s="34">
        <v>2</v>
      </c>
      <c r="R14" s="32" t="s">
        <v>57</v>
      </c>
      <c r="S14" s="35" t="s">
        <v>66</v>
      </c>
      <c r="T14" s="34">
        <f t="shared" si="0"/>
        <v>2880</v>
      </c>
      <c r="U14" s="34">
        <f t="shared" si="1"/>
        <v>576</v>
      </c>
      <c r="V14" s="34">
        <f t="shared" si="2"/>
        <v>2304</v>
      </c>
    </row>
    <row r="15" spans="1:22" ht="20.100000000000001" customHeight="1" x14ac:dyDescent="0.3">
      <c r="A15" s="31" t="s">
        <v>113</v>
      </c>
      <c r="B15" s="33">
        <v>46102</v>
      </c>
      <c r="C15" s="35" t="s">
        <v>114</v>
      </c>
      <c r="D15" s="32" t="s">
        <v>49</v>
      </c>
      <c r="E15" s="34">
        <v>49</v>
      </c>
      <c r="F15" s="32" t="s">
        <v>115</v>
      </c>
      <c r="G15" s="32" t="s">
        <v>51</v>
      </c>
      <c r="H15" s="35" t="s">
        <v>71</v>
      </c>
      <c r="I15" s="35" t="s">
        <v>72</v>
      </c>
      <c r="J15" s="35" t="s">
        <v>103</v>
      </c>
      <c r="K15" s="34">
        <v>8</v>
      </c>
      <c r="L15" s="34">
        <v>150</v>
      </c>
      <c r="M15" s="34">
        <v>0</v>
      </c>
      <c r="N15" s="32" t="s">
        <v>74</v>
      </c>
      <c r="O15" s="32" t="s">
        <v>56</v>
      </c>
      <c r="P15" s="33">
        <v>46106</v>
      </c>
      <c r="Q15" s="34">
        <v>5</v>
      </c>
      <c r="R15" s="32" t="s">
        <v>57</v>
      </c>
      <c r="S15" s="35" t="s">
        <v>104</v>
      </c>
      <c r="T15" s="34">
        <f t="shared" si="0"/>
        <v>1200</v>
      </c>
      <c r="U15" s="34">
        <f t="shared" si="1"/>
        <v>0</v>
      </c>
      <c r="V15" s="34">
        <f t="shared" si="2"/>
        <v>1200</v>
      </c>
    </row>
    <row r="16" spans="1:22" ht="20.100000000000001" customHeight="1" x14ac:dyDescent="0.3">
      <c r="A16" s="31" t="s">
        <v>116</v>
      </c>
      <c r="B16" s="33">
        <v>46079</v>
      </c>
      <c r="C16" s="35" t="s">
        <v>111</v>
      </c>
      <c r="D16" s="32" t="s">
        <v>61</v>
      </c>
      <c r="E16" s="34">
        <v>35</v>
      </c>
      <c r="F16" s="32" t="s">
        <v>80</v>
      </c>
      <c r="G16" s="32" t="s">
        <v>51</v>
      </c>
      <c r="H16" s="35" t="s">
        <v>52</v>
      </c>
      <c r="I16" s="35" t="s">
        <v>109</v>
      </c>
      <c r="J16" s="35" t="s">
        <v>73</v>
      </c>
      <c r="K16" s="34">
        <v>17</v>
      </c>
      <c r="L16" s="34">
        <v>650</v>
      </c>
      <c r="M16" s="34">
        <v>0.05</v>
      </c>
      <c r="N16" s="32" t="s">
        <v>74</v>
      </c>
      <c r="O16" s="32" t="s">
        <v>56</v>
      </c>
      <c r="P16" s="33">
        <v>46080</v>
      </c>
      <c r="Q16" s="34"/>
      <c r="R16" s="32" t="s">
        <v>57</v>
      </c>
      <c r="S16" s="35" t="s">
        <v>66</v>
      </c>
      <c r="T16" s="34">
        <f t="shared" si="0"/>
        <v>11050</v>
      </c>
      <c r="U16" s="34">
        <f t="shared" si="1"/>
        <v>552.5</v>
      </c>
      <c r="V16" s="34">
        <f t="shared" si="2"/>
        <v>10497.5</v>
      </c>
    </row>
    <row r="17" spans="1:22" ht="20.100000000000001" customHeight="1" x14ac:dyDescent="0.3">
      <c r="A17" s="31" t="s">
        <v>117</v>
      </c>
      <c r="B17" s="33">
        <v>46262</v>
      </c>
      <c r="C17" s="35" t="s">
        <v>118</v>
      </c>
      <c r="D17" s="32" t="s">
        <v>49</v>
      </c>
      <c r="E17" s="34">
        <v>36</v>
      </c>
      <c r="F17" s="32" t="s">
        <v>69</v>
      </c>
      <c r="G17" s="32" t="s">
        <v>70</v>
      </c>
      <c r="H17" s="35" t="s">
        <v>71</v>
      </c>
      <c r="I17" s="35" t="s">
        <v>96</v>
      </c>
      <c r="J17" s="35" t="s">
        <v>103</v>
      </c>
      <c r="K17" s="34">
        <v>4</v>
      </c>
      <c r="L17" s="34">
        <v>450</v>
      </c>
      <c r="M17" s="34">
        <v>0</v>
      </c>
      <c r="N17" s="32" t="s">
        <v>92</v>
      </c>
      <c r="O17" s="32" t="s">
        <v>56</v>
      </c>
      <c r="P17" s="33">
        <v>46267</v>
      </c>
      <c r="Q17" s="34">
        <v>4</v>
      </c>
      <c r="R17" s="32" t="s">
        <v>76</v>
      </c>
      <c r="S17" s="35" t="s">
        <v>77</v>
      </c>
      <c r="T17" s="34">
        <f t="shared" si="0"/>
        <v>1800</v>
      </c>
      <c r="U17" s="34">
        <f t="shared" si="1"/>
        <v>0</v>
      </c>
      <c r="V17" s="34">
        <f t="shared" si="2"/>
        <v>1800</v>
      </c>
    </row>
    <row r="18" spans="1:22" ht="20.100000000000001" customHeight="1" x14ac:dyDescent="0.3">
      <c r="A18" s="31" t="s">
        <v>119</v>
      </c>
      <c r="B18" s="33">
        <v>46209</v>
      </c>
      <c r="C18" s="35" t="s">
        <v>114</v>
      </c>
      <c r="D18" s="32" t="s">
        <v>61</v>
      </c>
      <c r="E18" s="34">
        <v>24</v>
      </c>
      <c r="F18" s="32" t="s">
        <v>120</v>
      </c>
      <c r="G18" s="32" t="s">
        <v>51</v>
      </c>
      <c r="H18" s="35" t="s">
        <v>62</v>
      </c>
      <c r="I18" s="35" t="s">
        <v>81</v>
      </c>
      <c r="J18" s="35" t="s">
        <v>82</v>
      </c>
      <c r="K18" s="34">
        <v>4</v>
      </c>
      <c r="L18" s="34">
        <v>750</v>
      </c>
      <c r="M18" s="34">
        <v>0.05</v>
      </c>
      <c r="N18" s="32" t="s">
        <v>86</v>
      </c>
      <c r="O18" s="32" t="s">
        <v>56</v>
      </c>
      <c r="P18" s="33">
        <v>46210</v>
      </c>
      <c r="Q18" s="34">
        <v>4</v>
      </c>
      <c r="R18" s="32" t="s">
        <v>57</v>
      </c>
      <c r="S18" s="35" t="s">
        <v>121</v>
      </c>
      <c r="T18" s="34">
        <f t="shared" si="0"/>
        <v>3000</v>
      </c>
      <c r="U18" s="34">
        <f t="shared" si="1"/>
        <v>150</v>
      </c>
      <c r="V18" s="34">
        <f t="shared" si="2"/>
        <v>2850</v>
      </c>
    </row>
    <row r="19" spans="1:22" ht="20.100000000000001" customHeight="1" x14ac:dyDescent="0.3">
      <c r="A19" s="31" t="s">
        <v>122</v>
      </c>
      <c r="B19" s="33">
        <v>46069</v>
      </c>
      <c r="C19" s="35" t="s">
        <v>79</v>
      </c>
      <c r="D19" s="32" t="s">
        <v>61</v>
      </c>
      <c r="E19" s="34">
        <v>25</v>
      </c>
      <c r="F19" s="32" t="s">
        <v>123</v>
      </c>
      <c r="G19" s="32" t="s">
        <v>51</v>
      </c>
      <c r="H19" s="35" t="s">
        <v>62</v>
      </c>
      <c r="I19" s="35" t="s">
        <v>124</v>
      </c>
      <c r="J19" s="35" t="s">
        <v>73</v>
      </c>
      <c r="K19" s="34">
        <v>21</v>
      </c>
      <c r="L19" s="34">
        <v>2200</v>
      </c>
      <c r="M19" s="34">
        <v>0.2</v>
      </c>
      <c r="N19" s="32" t="s">
        <v>55</v>
      </c>
      <c r="O19" s="32" t="s">
        <v>125</v>
      </c>
      <c r="P19" s="33">
        <v>46072</v>
      </c>
      <c r="Q19" s="34">
        <v>2</v>
      </c>
      <c r="R19" s="32" t="s">
        <v>57</v>
      </c>
      <c r="S19" s="35" t="s">
        <v>121</v>
      </c>
      <c r="T19" s="34">
        <f t="shared" si="0"/>
        <v>46200</v>
      </c>
      <c r="U19" s="34">
        <f t="shared" si="1"/>
        <v>9240</v>
      </c>
      <c r="V19" s="34">
        <f t="shared" si="2"/>
        <v>36960</v>
      </c>
    </row>
    <row r="20" spans="1:22" ht="20.100000000000001" customHeight="1" x14ac:dyDescent="0.3">
      <c r="A20" s="31" t="s">
        <v>126</v>
      </c>
      <c r="B20" s="33">
        <v>46147</v>
      </c>
      <c r="C20" s="35" t="s">
        <v>127</v>
      </c>
      <c r="D20" s="32" t="s">
        <v>49</v>
      </c>
      <c r="E20" s="34">
        <v>24</v>
      </c>
      <c r="F20" s="32" t="s">
        <v>128</v>
      </c>
      <c r="G20" s="32" t="s">
        <v>51</v>
      </c>
      <c r="H20" s="35" t="s">
        <v>71</v>
      </c>
      <c r="I20" s="35" t="s">
        <v>72</v>
      </c>
      <c r="J20" s="35" t="s">
        <v>64</v>
      </c>
      <c r="K20" s="34">
        <v>9</v>
      </c>
      <c r="L20" s="34">
        <v>150</v>
      </c>
      <c r="M20" s="34">
        <v>0.15</v>
      </c>
      <c r="N20" s="32" t="s">
        <v>74</v>
      </c>
      <c r="O20" s="32" t="s">
        <v>56</v>
      </c>
      <c r="P20" s="33">
        <v>46151</v>
      </c>
      <c r="Q20" s="34">
        <v>5</v>
      </c>
      <c r="R20" s="32" t="s">
        <v>76</v>
      </c>
      <c r="S20" s="35" t="s">
        <v>129</v>
      </c>
      <c r="T20" s="34">
        <f t="shared" si="0"/>
        <v>1350</v>
      </c>
      <c r="U20" s="34">
        <f t="shared" si="1"/>
        <v>202.5</v>
      </c>
      <c r="V20" s="34">
        <f t="shared" si="2"/>
        <v>1147.5</v>
      </c>
    </row>
    <row r="21" spans="1:22" ht="20.100000000000001" customHeight="1" x14ac:dyDescent="0.3">
      <c r="A21" s="31" t="s">
        <v>130</v>
      </c>
      <c r="B21" s="33">
        <v>46071</v>
      </c>
      <c r="C21" s="35" t="s">
        <v>127</v>
      </c>
      <c r="D21" s="32" t="s">
        <v>61</v>
      </c>
      <c r="E21" s="34">
        <v>58</v>
      </c>
      <c r="F21" s="32" t="s">
        <v>131</v>
      </c>
      <c r="G21" s="32" t="s">
        <v>132</v>
      </c>
      <c r="H21" s="35" t="s">
        <v>62</v>
      </c>
      <c r="I21" s="35" t="s">
        <v>124</v>
      </c>
      <c r="J21" s="35" t="s">
        <v>54</v>
      </c>
      <c r="K21" s="34">
        <v>11</v>
      </c>
      <c r="L21" s="34">
        <v>2200</v>
      </c>
      <c r="M21" s="34">
        <v>0</v>
      </c>
      <c r="N21" s="32" t="s">
        <v>55</v>
      </c>
      <c r="O21" s="32" t="s">
        <v>56</v>
      </c>
      <c r="P21" s="33">
        <v>46074</v>
      </c>
      <c r="Q21" s="34">
        <v>5</v>
      </c>
      <c r="R21" s="32" t="s">
        <v>57</v>
      </c>
      <c r="S21" s="35" t="s">
        <v>58</v>
      </c>
      <c r="T21" s="34">
        <f t="shared" si="0"/>
        <v>24200</v>
      </c>
      <c r="U21" s="34">
        <f t="shared" si="1"/>
        <v>0</v>
      </c>
      <c r="V21" s="34">
        <f t="shared" si="2"/>
        <v>24200</v>
      </c>
    </row>
    <row r="22" spans="1:22" ht="20.100000000000001" customHeight="1" x14ac:dyDescent="0.3">
      <c r="A22" s="31" t="s">
        <v>133</v>
      </c>
      <c r="B22" s="33">
        <v>46153</v>
      </c>
      <c r="C22" s="35" t="s">
        <v>134</v>
      </c>
      <c r="D22" s="32" t="s">
        <v>61</v>
      </c>
      <c r="E22" s="34">
        <v>59</v>
      </c>
      <c r="F22" s="32" t="s">
        <v>80</v>
      </c>
      <c r="G22" s="32" t="s">
        <v>51</v>
      </c>
      <c r="H22" s="35" t="s">
        <v>62</v>
      </c>
      <c r="I22" s="35" t="s">
        <v>135</v>
      </c>
      <c r="J22" s="35" t="s">
        <v>64</v>
      </c>
      <c r="K22" s="34">
        <v>4</v>
      </c>
      <c r="L22" s="34">
        <v>3500</v>
      </c>
      <c r="M22" s="34">
        <v>0.2</v>
      </c>
      <c r="N22" s="32" t="s">
        <v>86</v>
      </c>
      <c r="O22" s="32" t="s">
        <v>56</v>
      </c>
      <c r="P22" s="33">
        <v>46154</v>
      </c>
      <c r="Q22" s="34">
        <v>1</v>
      </c>
      <c r="R22" s="32" t="s">
        <v>57</v>
      </c>
      <c r="S22" s="35" t="s">
        <v>121</v>
      </c>
      <c r="T22" s="34">
        <f t="shared" si="0"/>
        <v>14000</v>
      </c>
      <c r="U22" s="34">
        <f t="shared" si="1"/>
        <v>2800</v>
      </c>
      <c r="V22" s="34">
        <f t="shared" si="2"/>
        <v>11200</v>
      </c>
    </row>
    <row r="23" spans="1:22" ht="20.100000000000001" customHeight="1" x14ac:dyDescent="0.3">
      <c r="A23" s="31" t="s">
        <v>136</v>
      </c>
      <c r="B23" s="33">
        <v>46191</v>
      </c>
      <c r="C23" s="35" t="s">
        <v>118</v>
      </c>
      <c r="D23" s="32" t="s">
        <v>49</v>
      </c>
      <c r="E23" s="34">
        <v>37</v>
      </c>
      <c r="F23" s="32" t="s">
        <v>50</v>
      </c>
      <c r="G23" s="32" t="s">
        <v>51</v>
      </c>
      <c r="H23" s="35" t="s">
        <v>62</v>
      </c>
      <c r="I23" s="35" t="s">
        <v>81</v>
      </c>
      <c r="J23" s="35" t="s">
        <v>103</v>
      </c>
      <c r="K23" s="34">
        <v>9</v>
      </c>
      <c r="L23" s="34">
        <v>750</v>
      </c>
      <c r="M23" s="34">
        <v>0.15</v>
      </c>
      <c r="N23" s="32" t="s">
        <v>86</v>
      </c>
      <c r="O23" s="32" t="s">
        <v>56</v>
      </c>
      <c r="P23" s="33">
        <v>46196</v>
      </c>
      <c r="Q23" s="34">
        <v>3</v>
      </c>
      <c r="R23" s="32" t="s">
        <v>76</v>
      </c>
      <c r="S23" s="35" t="s">
        <v>101</v>
      </c>
      <c r="T23" s="34">
        <f t="shared" si="0"/>
        <v>6750</v>
      </c>
      <c r="U23" s="34">
        <f t="shared" si="1"/>
        <v>1012.5</v>
      </c>
      <c r="V23" s="34">
        <f t="shared" si="2"/>
        <v>5737.5</v>
      </c>
    </row>
    <row r="24" spans="1:22" ht="20.100000000000001" customHeight="1" x14ac:dyDescent="0.3">
      <c r="A24" s="31" t="s">
        <v>137</v>
      </c>
      <c r="B24" s="33">
        <v>46260</v>
      </c>
      <c r="C24" s="35" t="s">
        <v>111</v>
      </c>
      <c r="D24" s="32" t="s">
        <v>61</v>
      </c>
      <c r="E24" s="34">
        <v>50</v>
      </c>
      <c r="F24" s="32" t="s">
        <v>138</v>
      </c>
      <c r="G24" s="32" t="s">
        <v>138</v>
      </c>
      <c r="H24" s="35" t="s">
        <v>62</v>
      </c>
      <c r="I24" s="35" t="s">
        <v>124</v>
      </c>
      <c r="J24" s="35" t="s">
        <v>73</v>
      </c>
      <c r="K24" s="34">
        <v>18</v>
      </c>
      <c r="L24" s="34">
        <v>2200</v>
      </c>
      <c r="M24" s="34">
        <v>0.05</v>
      </c>
      <c r="N24" s="32" t="s">
        <v>65</v>
      </c>
      <c r="O24" s="32" t="s">
        <v>56</v>
      </c>
      <c r="P24" s="33">
        <v>46267</v>
      </c>
      <c r="Q24" s="34">
        <v>3</v>
      </c>
      <c r="R24" s="32" t="s">
        <v>57</v>
      </c>
      <c r="S24" s="35" t="s">
        <v>129</v>
      </c>
      <c r="T24" s="34">
        <f t="shared" si="0"/>
        <v>39600</v>
      </c>
      <c r="U24" s="34">
        <f t="shared" si="1"/>
        <v>1980</v>
      </c>
      <c r="V24" s="34">
        <f t="shared" si="2"/>
        <v>37620</v>
      </c>
    </row>
    <row r="25" spans="1:22" ht="20.100000000000001" customHeight="1" x14ac:dyDescent="0.3">
      <c r="A25" s="31" t="s">
        <v>139</v>
      </c>
      <c r="B25" s="33">
        <v>46117</v>
      </c>
      <c r="C25" s="35" t="s">
        <v>134</v>
      </c>
      <c r="D25" s="32" t="s">
        <v>49</v>
      </c>
      <c r="E25" s="34">
        <v>55</v>
      </c>
      <c r="F25" s="32" t="s">
        <v>131</v>
      </c>
      <c r="G25" s="32" t="s">
        <v>132</v>
      </c>
      <c r="H25" s="35" t="s">
        <v>71</v>
      </c>
      <c r="I25" s="35" t="s">
        <v>112</v>
      </c>
      <c r="J25" s="35" t="s">
        <v>82</v>
      </c>
      <c r="K25" s="34">
        <v>21</v>
      </c>
      <c r="L25" s="34">
        <v>320</v>
      </c>
      <c r="M25" s="34">
        <v>0.2</v>
      </c>
      <c r="N25" s="32" t="s">
        <v>55</v>
      </c>
      <c r="O25" s="32" t="s">
        <v>56</v>
      </c>
      <c r="P25" s="33">
        <v>46120</v>
      </c>
      <c r="Q25" s="34">
        <v>5</v>
      </c>
      <c r="R25" s="32" t="s">
        <v>76</v>
      </c>
      <c r="S25" s="35" t="s">
        <v>66</v>
      </c>
      <c r="T25" s="34">
        <f t="shared" si="0"/>
        <v>6720</v>
      </c>
      <c r="U25" s="34">
        <f t="shared" si="1"/>
        <v>1344</v>
      </c>
      <c r="V25" s="34">
        <f t="shared" si="2"/>
        <v>5376</v>
      </c>
    </row>
    <row r="26" spans="1:22" ht="20.100000000000001" customHeight="1" x14ac:dyDescent="0.3">
      <c r="A26" s="31" t="s">
        <v>139</v>
      </c>
      <c r="B26" s="33">
        <v>46049</v>
      </c>
      <c r="C26" s="35" t="s">
        <v>68</v>
      </c>
      <c r="D26" s="32" t="s">
        <v>61</v>
      </c>
      <c r="E26" s="34">
        <v>27</v>
      </c>
      <c r="F26" s="32" t="s">
        <v>131</v>
      </c>
      <c r="G26" s="32" t="s">
        <v>132</v>
      </c>
      <c r="H26" s="35" t="s">
        <v>62</v>
      </c>
      <c r="I26" s="35" t="s">
        <v>135</v>
      </c>
      <c r="J26" s="35" t="s">
        <v>97</v>
      </c>
      <c r="K26" s="34">
        <v>10</v>
      </c>
      <c r="L26" s="34">
        <v>3500</v>
      </c>
      <c r="M26" s="34">
        <v>0.2</v>
      </c>
      <c r="N26" s="32" t="s">
        <v>86</v>
      </c>
      <c r="O26" s="32" t="s">
        <v>75</v>
      </c>
      <c r="P26" s="33">
        <v>46051</v>
      </c>
      <c r="Q26" s="34">
        <v>2</v>
      </c>
      <c r="R26" s="32" t="s">
        <v>76</v>
      </c>
      <c r="S26" s="35" t="s">
        <v>104</v>
      </c>
      <c r="T26" s="34">
        <f t="shared" si="0"/>
        <v>35000</v>
      </c>
      <c r="U26" s="34">
        <f t="shared" si="1"/>
        <v>7000</v>
      </c>
      <c r="V26" s="34">
        <f t="shared" si="2"/>
        <v>28000</v>
      </c>
    </row>
    <row r="27" spans="1:22" ht="20.100000000000001" customHeight="1" x14ac:dyDescent="0.3">
      <c r="A27" s="31" t="s">
        <v>140</v>
      </c>
      <c r="B27" s="33">
        <v>46148</v>
      </c>
      <c r="C27" s="35" t="s">
        <v>141</v>
      </c>
      <c r="D27" s="32" t="s">
        <v>61</v>
      </c>
      <c r="E27" s="34">
        <v>61</v>
      </c>
      <c r="F27" s="32" t="s">
        <v>120</v>
      </c>
      <c r="G27" s="32" t="s">
        <v>51</v>
      </c>
      <c r="H27" s="35" t="s">
        <v>71</v>
      </c>
      <c r="I27" s="35" t="s">
        <v>72</v>
      </c>
      <c r="J27" s="35" t="s">
        <v>73</v>
      </c>
      <c r="K27" s="34">
        <v>11</v>
      </c>
      <c r="L27" s="34">
        <v>150</v>
      </c>
      <c r="M27" s="34">
        <v>0.05</v>
      </c>
      <c r="N27" s="32" t="s">
        <v>74</v>
      </c>
      <c r="O27" s="32" t="s">
        <v>56</v>
      </c>
      <c r="P27" s="33">
        <v>46151</v>
      </c>
      <c r="Q27" s="34">
        <v>4</v>
      </c>
      <c r="R27" s="32" t="s">
        <v>76</v>
      </c>
      <c r="S27" s="35" t="s">
        <v>104</v>
      </c>
      <c r="T27" s="34">
        <f t="shared" si="0"/>
        <v>1650</v>
      </c>
      <c r="U27" s="34">
        <f t="shared" si="1"/>
        <v>82.5</v>
      </c>
      <c r="V27" s="34">
        <f t="shared" si="2"/>
        <v>1567.5</v>
      </c>
    </row>
    <row r="28" spans="1:22" ht="20.100000000000001" customHeight="1" x14ac:dyDescent="0.3">
      <c r="A28" s="31" t="s">
        <v>142</v>
      </c>
      <c r="B28" s="33">
        <v>46025</v>
      </c>
      <c r="C28" s="35" t="s">
        <v>111</v>
      </c>
      <c r="D28" s="32" t="s">
        <v>61</v>
      </c>
      <c r="E28" s="34">
        <v>55</v>
      </c>
      <c r="F28" s="32" t="s">
        <v>95</v>
      </c>
      <c r="G28" s="32" t="s">
        <v>51</v>
      </c>
      <c r="H28" s="35" t="s">
        <v>71</v>
      </c>
      <c r="I28" s="35" t="s">
        <v>112</v>
      </c>
      <c r="J28" s="35" t="s">
        <v>143</v>
      </c>
      <c r="K28" s="34">
        <v>5</v>
      </c>
      <c r="L28" s="34">
        <v>320</v>
      </c>
      <c r="M28" s="34">
        <v>0.15</v>
      </c>
      <c r="N28" s="32" t="s">
        <v>86</v>
      </c>
      <c r="O28" s="32" t="s">
        <v>56</v>
      </c>
      <c r="P28" s="33">
        <v>46026</v>
      </c>
      <c r="Q28" s="34">
        <v>3</v>
      </c>
      <c r="R28" s="32" t="s">
        <v>57</v>
      </c>
      <c r="S28" s="35" t="s">
        <v>101</v>
      </c>
      <c r="T28" s="34">
        <f t="shared" si="0"/>
        <v>1600</v>
      </c>
      <c r="U28" s="34">
        <f t="shared" si="1"/>
        <v>240</v>
      </c>
      <c r="V28" s="34">
        <f t="shared" si="2"/>
        <v>1360</v>
      </c>
    </row>
    <row r="29" spans="1:22" ht="20.100000000000001" customHeight="1" x14ac:dyDescent="0.3">
      <c r="A29" s="31" t="s">
        <v>144</v>
      </c>
      <c r="B29" s="33">
        <v>46076</v>
      </c>
      <c r="C29" s="35" t="s">
        <v>145</v>
      </c>
      <c r="D29" s="32" t="s">
        <v>61</v>
      </c>
      <c r="E29" s="34">
        <v>43</v>
      </c>
      <c r="F29" s="32" t="s">
        <v>69</v>
      </c>
      <c r="G29" s="32" t="s">
        <v>70</v>
      </c>
      <c r="H29" s="35" t="s">
        <v>62</v>
      </c>
      <c r="I29" s="35" t="s">
        <v>146</v>
      </c>
      <c r="J29" s="35" t="s">
        <v>143</v>
      </c>
      <c r="K29" s="34">
        <v>24</v>
      </c>
      <c r="L29" s="34">
        <v>1800</v>
      </c>
      <c r="M29" s="34">
        <v>0.05</v>
      </c>
      <c r="N29" s="32" t="s">
        <v>86</v>
      </c>
      <c r="O29" s="32" t="s">
        <v>75</v>
      </c>
      <c r="P29" s="33">
        <v>46082</v>
      </c>
      <c r="Q29" s="34">
        <v>2</v>
      </c>
      <c r="R29" s="32" t="s">
        <v>76</v>
      </c>
      <c r="S29" s="35" t="s">
        <v>58</v>
      </c>
      <c r="T29" s="34">
        <f t="shared" si="0"/>
        <v>43200</v>
      </c>
      <c r="U29" s="34">
        <f t="shared" si="1"/>
        <v>2160</v>
      </c>
      <c r="V29" s="34">
        <f t="shared" si="2"/>
        <v>41040</v>
      </c>
    </row>
    <row r="30" spans="1:22" ht="20.100000000000001" customHeight="1" x14ac:dyDescent="0.3">
      <c r="A30" s="31" t="s">
        <v>147</v>
      </c>
      <c r="B30" s="33">
        <v>46068</v>
      </c>
      <c r="C30" s="35" t="s">
        <v>148</v>
      </c>
      <c r="D30" s="32" t="s">
        <v>49</v>
      </c>
      <c r="E30" s="34">
        <v>36</v>
      </c>
      <c r="F30" s="32" t="s">
        <v>99</v>
      </c>
      <c r="G30" s="32" t="s">
        <v>51</v>
      </c>
      <c r="H30" s="35" t="s">
        <v>52</v>
      </c>
      <c r="I30" s="35" t="s">
        <v>53</v>
      </c>
      <c r="J30" s="35" t="s">
        <v>64</v>
      </c>
      <c r="K30" s="34">
        <v>2</v>
      </c>
      <c r="L30" s="34">
        <v>55000</v>
      </c>
      <c r="M30" s="34">
        <v>0.15</v>
      </c>
      <c r="N30" s="32" t="s">
        <v>86</v>
      </c>
      <c r="O30" s="32" t="s">
        <v>56</v>
      </c>
      <c r="P30" s="33">
        <v>46074</v>
      </c>
      <c r="Q30" s="34">
        <v>4</v>
      </c>
      <c r="R30" s="32" t="s">
        <v>76</v>
      </c>
      <c r="S30" s="35" t="s">
        <v>101</v>
      </c>
      <c r="T30" s="34">
        <f t="shared" si="0"/>
        <v>110000</v>
      </c>
      <c r="U30" s="34">
        <f t="shared" si="1"/>
        <v>16500</v>
      </c>
      <c r="V30" s="34">
        <f t="shared" si="2"/>
        <v>93500</v>
      </c>
    </row>
    <row r="31" spans="1:22" ht="20.100000000000001" customHeight="1" x14ac:dyDescent="0.3">
      <c r="A31" s="31" t="s">
        <v>149</v>
      </c>
      <c r="B31" s="33">
        <v>46233</v>
      </c>
      <c r="C31" s="35" t="s">
        <v>145</v>
      </c>
      <c r="D31" s="32" t="s">
        <v>61</v>
      </c>
      <c r="E31" s="34">
        <v>22</v>
      </c>
      <c r="F31" s="32" t="s">
        <v>89</v>
      </c>
      <c r="G31" s="32" t="s">
        <v>90</v>
      </c>
      <c r="H31" s="35" t="s">
        <v>52</v>
      </c>
      <c r="I31" s="35" t="s">
        <v>150</v>
      </c>
      <c r="J31" s="35" t="s">
        <v>97</v>
      </c>
      <c r="K31" s="34">
        <v>9</v>
      </c>
      <c r="L31" s="34">
        <v>14500</v>
      </c>
      <c r="M31" s="34">
        <v>0</v>
      </c>
      <c r="N31" s="32" t="s">
        <v>74</v>
      </c>
      <c r="O31" s="32" t="s">
        <v>56</v>
      </c>
      <c r="P31" s="33">
        <v>46240</v>
      </c>
      <c r="Q31" s="34">
        <v>5</v>
      </c>
      <c r="R31" s="32" t="s">
        <v>76</v>
      </c>
      <c r="S31" s="35" t="s">
        <v>66</v>
      </c>
      <c r="T31" s="34">
        <f t="shared" si="0"/>
        <v>130500</v>
      </c>
      <c r="U31" s="34">
        <f t="shared" si="1"/>
        <v>0</v>
      </c>
      <c r="V31" s="34">
        <f t="shared" si="2"/>
        <v>130500</v>
      </c>
    </row>
    <row r="32" spans="1:22" ht="20.100000000000001" customHeight="1" x14ac:dyDescent="0.3">
      <c r="A32" s="31" t="s">
        <v>151</v>
      </c>
      <c r="B32" s="33">
        <v>46238</v>
      </c>
      <c r="C32" s="35" t="s">
        <v>148</v>
      </c>
      <c r="D32" s="32" t="s">
        <v>61</v>
      </c>
      <c r="E32" s="34">
        <v>28</v>
      </c>
      <c r="F32" s="32" t="s">
        <v>99</v>
      </c>
      <c r="G32" s="32" t="s">
        <v>51</v>
      </c>
      <c r="H32" s="35" t="s">
        <v>52</v>
      </c>
      <c r="I32" s="35" t="s">
        <v>91</v>
      </c>
      <c r="J32" s="35" t="s">
        <v>97</v>
      </c>
      <c r="K32" s="34">
        <v>2</v>
      </c>
      <c r="L32" s="34">
        <v>12500</v>
      </c>
      <c r="M32" s="34">
        <v>0</v>
      </c>
      <c r="N32" s="32" t="s">
        <v>65</v>
      </c>
      <c r="O32" s="32" t="s">
        <v>56</v>
      </c>
      <c r="P32" s="33">
        <v>46243</v>
      </c>
      <c r="Q32" s="34">
        <v>3</v>
      </c>
      <c r="R32" s="32" t="s">
        <v>76</v>
      </c>
      <c r="S32" s="35" t="s">
        <v>104</v>
      </c>
      <c r="T32" s="34">
        <f t="shared" si="0"/>
        <v>25000</v>
      </c>
      <c r="U32" s="34">
        <f t="shared" si="1"/>
        <v>0</v>
      </c>
      <c r="V32" s="34">
        <f t="shared" si="2"/>
        <v>25000</v>
      </c>
    </row>
    <row r="33" spans="1:22" ht="20.100000000000001" customHeight="1" x14ac:dyDescent="0.3">
      <c r="A33" s="31" t="s">
        <v>152</v>
      </c>
      <c r="B33" s="33">
        <v>46153</v>
      </c>
      <c r="C33" s="35" t="s">
        <v>153</v>
      </c>
      <c r="D33" s="32" t="s">
        <v>61</v>
      </c>
      <c r="E33" s="34">
        <v>37</v>
      </c>
      <c r="F33" s="32" t="s">
        <v>95</v>
      </c>
      <c r="G33" s="32" t="s">
        <v>51</v>
      </c>
      <c r="H33" s="35" t="s">
        <v>62</v>
      </c>
      <c r="I33" s="35" t="s">
        <v>146</v>
      </c>
      <c r="J33" s="35" t="s">
        <v>73</v>
      </c>
      <c r="K33" s="34">
        <v>17</v>
      </c>
      <c r="L33" s="34">
        <v>1800</v>
      </c>
      <c r="M33" s="34">
        <v>0.2</v>
      </c>
      <c r="N33" s="32" t="s">
        <v>86</v>
      </c>
      <c r="O33" s="32" t="s">
        <v>56</v>
      </c>
      <c r="P33" s="33">
        <v>46154</v>
      </c>
      <c r="Q33" s="34">
        <v>1</v>
      </c>
      <c r="R33" s="32" t="s">
        <v>76</v>
      </c>
      <c r="S33" s="35" t="s">
        <v>104</v>
      </c>
      <c r="T33" s="34">
        <f t="shared" si="0"/>
        <v>30600</v>
      </c>
      <c r="U33" s="34">
        <f t="shared" si="1"/>
        <v>6120</v>
      </c>
      <c r="V33" s="34">
        <f t="shared" si="2"/>
        <v>24480</v>
      </c>
    </row>
    <row r="34" spans="1:22" ht="20.100000000000001" customHeight="1" x14ac:dyDescent="0.3">
      <c r="A34" s="31" t="s">
        <v>154</v>
      </c>
      <c r="B34" s="33">
        <v>46103</v>
      </c>
      <c r="C34" s="35" t="s">
        <v>155</v>
      </c>
      <c r="D34" s="32" t="s">
        <v>49</v>
      </c>
      <c r="E34" s="34">
        <v>53</v>
      </c>
      <c r="F34" s="32" t="s">
        <v>99</v>
      </c>
      <c r="G34" s="32" t="s">
        <v>51</v>
      </c>
      <c r="H34" s="35" t="s">
        <v>62</v>
      </c>
      <c r="I34" s="35" t="s">
        <v>146</v>
      </c>
      <c r="J34" s="35" t="s">
        <v>97</v>
      </c>
      <c r="K34" s="34">
        <v>13</v>
      </c>
      <c r="L34" s="34">
        <v>1800</v>
      </c>
      <c r="M34" s="34">
        <v>0.25</v>
      </c>
      <c r="N34" s="32" t="s">
        <v>74</v>
      </c>
      <c r="O34" s="32" t="s">
        <v>56</v>
      </c>
      <c r="P34" s="33">
        <v>46109</v>
      </c>
      <c r="Q34" s="34">
        <v>2</v>
      </c>
      <c r="R34" s="32" t="s">
        <v>76</v>
      </c>
      <c r="S34" s="35" t="s">
        <v>66</v>
      </c>
      <c r="T34" s="34">
        <f t="shared" ref="T34:T65" si="3">K34*L34</f>
        <v>23400</v>
      </c>
      <c r="U34" s="34">
        <f t="shared" ref="U34:U65" si="4">T34*M34</f>
        <v>5850</v>
      </c>
      <c r="V34" s="34">
        <f t="shared" ref="V34:V65" si="5">T34-U34</f>
        <v>17550</v>
      </c>
    </row>
    <row r="35" spans="1:22" ht="20.100000000000001" customHeight="1" x14ac:dyDescent="0.3">
      <c r="A35" s="31" t="s">
        <v>156</v>
      </c>
      <c r="B35" s="33">
        <v>46263</v>
      </c>
      <c r="C35" s="35" t="s">
        <v>114</v>
      </c>
      <c r="D35" s="32" t="s">
        <v>61</v>
      </c>
      <c r="E35" s="34">
        <v>60</v>
      </c>
      <c r="F35" s="32" t="s">
        <v>138</v>
      </c>
      <c r="G35" s="32" t="s">
        <v>138</v>
      </c>
      <c r="H35" s="35" t="s">
        <v>71</v>
      </c>
      <c r="I35" s="35" t="s">
        <v>96</v>
      </c>
      <c r="J35" s="35" t="s">
        <v>143</v>
      </c>
      <c r="K35" s="34">
        <v>1</v>
      </c>
      <c r="L35" s="34">
        <v>450</v>
      </c>
      <c r="M35" s="34">
        <v>0.1</v>
      </c>
      <c r="N35" s="32" t="s">
        <v>74</v>
      </c>
      <c r="O35" s="32" t="s">
        <v>56</v>
      </c>
      <c r="P35" s="33">
        <v>46267</v>
      </c>
      <c r="Q35" s="34">
        <v>5</v>
      </c>
      <c r="R35" s="32" t="s">
        <v>76</v>
      </c>
      <c r="S35" s="35" t="s">
        <v>121</v>
      </c>
      <c r="T35" s="34">
        <f t="shared" si="3"/>
        <v>450</v>
      </c>
      <c r="U35" s="34">
        <f t="shared" si="4"/>
        <v>45</v>
      </c>
      <c r="V35" s="34">
        <f t="shared" si="5"/>
        <v>405</v>
      </c>
    </row>
    <row r="36" spans="1:22" ht="20.100000000000001" customHeight="1" x14ac:dyDescent="0.3">
      <c r="A36" s="31" t="s">
        <v>157</v>
      </c>
      <c r="B36" s="33">
        <v>46136</v>
      </c>
      <c r="C36" s="35" t="s">
        <v>114</v>
      </c>
      <c r="D36" s="32" t="s">
        <v>61</v>
      </c>
      <c r="E36" s="34">
        <v>53</v>
      </c>
      <c r="F36" s="32" t="s">
        <v>123</v>
      </c>
      <c r="G36" s="32" t="s">
        <v>51</v>
      </c>
      <c r="H36" s="35" t="s">
        <v>62</v>
      </c>
      <c r="I36" s="35" t="s">
        <v>135</v>
      </c>
      <c r="J36" s="35" t="s">
        <v>54</v>
      </c>
      <c r="K36" s="34">
        <v>3</v>
      </c>
      <c r="L36" s="34">
        <v>3500</v>
      </c>
      <c r="M36" s="34">
        <v>0.1</v>
      </c>
      <c r="N36" s="32" t="s">
        <v>65</v>
      </c>
      <c r="O36" s="32" t="s">
        <v>56</v>
      </c>
      <c r="P36" s="33">
        <v>46140</v>
      </c>
      <c r="Q36" s="34">
        <v>5</v>
      </c>
      <c r="R36" s="32" t="s">
        <v>76</v>
      </c>
      <c r="S36" s="35" t="s">
        <v>58</v>
      </c>
      <c r="T36" s="34">
        <f t="shared" si="3"/>
        <v>10500</v>
      </c>
      <c r="U36" s="34">
        <f t="shared" si="4"/>
        <v>1050</v>
      </c>
      <c r="V36" s="34">
        <f t="shared" si="5"/>
        <v>9450</v>
      </c>
    </row>
    <row r="37" spans="1:22" ht="20.100000000000001" customHeight="1" x14ac:dyDescent="0.3">
      <c r="A37" s="31" t="s">
        <v>158</v>
      </c>
      <c r="B37" s="33">
        <v>46232</v>
      </c>
      <c r="C37" s="35" t="s">
        <v>145</v>
      </c>
      <c r="D37" s="32" t="s">
        <v>49</v>
      </c>
      <c r="E37" s="34">
        <v>35</v>
      </c>
      <c r="F37" s="32" t="s">
        <v>69</v>
      </c>
      <c r="G37" s="32" t="s">
        <v>70</v>
      </c>
      <c r="H37" s="35" t="s">
        <v>52</v>
      </c>
      <c r="I37" s="35" t="s">
        <v>100</v>
      </c>
      <c r="J37" s="35" t="s">
        <v>73</v>
      </c>
      <c r="K37" s="34">
        <v>2</v>
      </c>
      <c r="L37" s="34">
        <v>1200</v>
      </c>
      <c r="M37" s="34">
        <v>0.05</v>
      </c>
      <c r="N37" s="32" t="s">
        <v>92</v>
      </c>
      <c r="O37" s="32" t="s">
        <v>56</v>
      </c>
      <c r="P37" s="33">
        <v>46239</v>
      </c>
      <c r="Q37" s="34">
        <v>1</v>
      </c>
      <c r="R37" s="32" t="s">
        <v>76</v>
      </c>
      <c r="S37" s="35" t="s">
        <v>121</v>
      </c>
      <c r="T37" s="34">
        <f t="shared" si="3"/>
        <v>2400</v>
      </c>
      <c r="U37" s="34">
        <f t="shared" si="4"/>
        <v>120</v>
      </c>
      <c r="V37" s="34">
        <f t="shared" si="5"/>
        <v>2280</v>
      </c>
    </row>
    <row r="38" spans="1:22" ht="20.100000000000001" customHeight="1" x14ac:dyDescent="0.3">
      <c r="A38" s="31" t="s">
        <v>159</v>
      </c>
      <c r="B38" s="33">
        <v>46249</v>
      </c>
      <c r="C38" s="35" t="s">
        <v>118</v>
      </c>
      <c r="D38" s="32" t="s">
        <v>61</v>
      </c>
      <c r="E38" s="34">
        <v>45</v>
      </c>
      <c r="F38" s="32" t="s">
        <v>123</v>
      </c>
      <c r="G38" s="32" t="s">
        <v>51</v>
      </c>
      <c r="H38" s="35" t="s">
        <v>71</v>
      </c>
      <c r="I38" s="35" t="s">
        <v>160</v>
      </c>
      <c r="J38" s="35" t="s">
        <v>103</v>
      </c>
      <c r="K38" s="34">
        <v>21</v>
      </c>
      <c r="L38" s="34">
        <v>45</v>
      </c>
      <c r="M38" s="34">
        <v>0.25</v>
      </c>
      <c r="N38" s="32" t="s">
        <v>55</v>
      </c>
      <c r="O38" s="32" t="s">
        <v>75</v>
      </c>
      <c r="P38" s="33">
        <v>46255</v>
      </c>
      <c r="Q38" s="34">
        <v>1</v>
      </c>
      <c r="R38" s="32" t="s">
        <v>76</v>
      </c>
      <c r="S38" s="35" t="s">
        <v>129</v>
      </c>
      <c r="T38" s="34">
        <f t="shared" si="3"/>
        <v>945</v>
      </c>
      <c r="U38" s="34">
        <f t="shared" si="4"/>
        <v>236.25</v>
      </c>
      <c r="V38" s="34">
        <f t="shared" si="5"/>
        <v>708.75</v>
      </c>
    </row>
    <row r="39" spans="1:22" ht="20.100000000000001" customHeight="1" x14ac:dyDescent="0.3">
      <c r="A39" s="31" t="s">
        <v>161</v>
      </c>
      <c r="B39" s="33">
        <v>46068</v>
      </c>
      <c r="C39" s="35" t="s">
        <v>162</v>
      </c>
      <c r="D39" s="32" t="s">
        <v>49</v>
      </c>
      <c r="E39" s="34">
        <v>24</v>
      </c>
      <c r="F39" s="32" t="s">
        <v>115</v>
      </c>
      <c r="G39" s="32" t="s">
        <v>51</v>
      </c>
      <c r="H39" s="35" t="s">
        <v>52</v>
      </c>
      <c r="I39" s="35" t="s">
        <v>53</v>
      </c>
      <c r="J39" s="35" t="s">
        <v>64</v>
      </c>
      <c r="K39" s="34">
        <v>5</v>
      </c>
      <c r="L39" s="34">
        <v>55000</v>
      </c>
      <c r="M39" s="34">
        <v>0.15</v>
      </c>
      <c r="N39" s="32" t="s">
        <v>65</v>
      </c>
      <c r="O39" s="32" t="s">
        <v>125</v>
      </c>
      <c r="P39" s="33">
        <v>46075</v>
      </c>
      <c r="Q39" s="34">
        <v>5</v>
      </c>
      <c r="R39" s="32" t="s">
        <v>76</v>
      </c>
      <c r="S39" s="35" t="s">
        <v>77</v>
      </c>
      <c r="T39" s="34">
        <f t="shared" si="3"/>
        <v>275000</v>
      </c>
      <c r="U39" s="34">
        <f t="shared" si="4"/>
        <v>41250</v>
      </c>
      <c r="V39" s="34">
        <f t="shared" si="5"/>
        <v>233750</v>
      </c>
    </row>
    <row r="40" spans="1:22" ht="20.100000000000001" customHeight="1" x14ac:dyDescent="0.3">
      <c r="A40" s="31" t="s">
        <v>163</v>
      </c>
      <c r="B40" s="33">
        <v>46251</v>
      </c>
      <c r="C40" s="35" t="s">
        <v>164</v>
      </c>
      <c r="D40" s="32" t="s">
        <v>49</v>
      </c>
      <c r="E40" s="34">
        <v>56</v>
      </c>
      <c r="F40" s="32" t="s">
        <v>123</v>
      </c>
      <c r="G40" s="32" t="s">
        <v>51</v>
      </c>
      <c r="H40" s="35" t="s">
        <v>52</v>
      </c>
      <c r="I40" s="35" t="s">
        <v>150</v>
      </c>
      <c r="J40" s="35" t="s">
        <v>64</v>
      </c>
      <c r="K40" s="34">
        <v>9</v>
      </c>
      <c r="L40" s="34">
        <v>14500</v>
      </c>
      <c r="M40" s="34">
        <v>0.05</v>
      </c>
      <c r="N40" s="32" t="s">
        <v>74</v>
      </c>
      <c r="O40" s="32" t="s">
        <v>75</v>
      </c>
      <c r="P40" s="33">
        <v>46255</v>
      </c>
      <c r="Q40" s="34">
        <v>5</v>
      </c>
      <c r="R40" s="32" t="s">
        <v>76</v>
      </c>
      <c r="S40" s="35" t="s">
        <v>66</v>
      </c>
      <c r="T40" s="34">
        <f t="shared" si="3"/>
        <v>130500</v>
      </c>
      <c r="U40" s="34">
        <f t="shared" si="4"/>
        <v>6525</v>
      </c>
      <c r="V40" s="34">
        <f t="shared" si="5"/>
        <v>123975</v>
      </c>
    </row>
    <row r="41" spans="1:22" ht="20.100000000000001" customHeight="1" x14ac:dyDescent="0.3">
      <c r="A41" s="31" t="s">
        <v>165</v>
      </c>
      <c r="B41" s="33">
        <v>46084</v>
      </c>
      <c r="C41" s="35" t="s">
        <v>79</v>
      </c>
      <c r="D41" s="32" t="s">
        <v>61</v>
      </c>
      <c r="E41" s="34">
        <v>39</v>
      </c>
      <c r="F41" s="32" t="s">
        <v>50</v>
      </c>
      <c r="G41" s="32" t="s">
        <v>51</v>
      </c>
      <c r="H41" s="35" t="s">
        <v>71</v>
      </c>
      <c r="I41" s="35" t="s">
        <v>85</v>
      </c>
      <c r="J41" s="35" t="s">
        <v>97</v>
      </c>
      <c r="K41" s="34">
        <v>18</v>
      </c>
      <c r="L41" s="34">
        <v>85</v>
      </c>
      <c r="M41" s="34">
        <v>0</v>
      </c>
      <c r="N41" s="32" t="s">
        <v>86</v>
      </c>
      <c r="O41" s="32" t="s">
        <v>56</v>
      </c>
      <c r="P41" s="33">
        <v>46087</v>
      </c>
      <c r="Q41" s="34">
        <v>4</v>
      </c>
      <c r="R41" s="32" t="s">
        <v>57</v>
      </c>
      <c r="S41" s="35" t="s">
        <v>66</v>
      </c>
      <c r="T41" s="34">
        <f t="shared" si="3"/>
        <v>1530</v>
      </c>
      <c r="U41" s="34">
        <f t="shared" si="4"/>
        <v>0</v>
      </c>
      <c r="V41" s="34">
        <f t="shared" si="5"/>
        <v>1530</v>
      </c>
    </row>
    <row r="42" spans="1:22" ht="20.100000000000001" customHeight="1" x14ac:dyDescent="0.3">
      <c r="A42" s="31" t="s">
        <v>166</v>
      </c>
      <c r="B42" s="33">
        <v>46077</v>
      </c>
      <c r="C42" s="35" t="s">
        <v>167</v>
      </c>
      <c r="D42" s="32" t="s">
        <v>49</v>
      </c>
      <c r="E42" s="34">
        <v>42</v>
      </c>
      <c r="F42" s="32" t="s">
        <v>115</v>
      </c>
      <c r="G42" s="32" t="s">
        <v>51</v>
      </c>
      <c r="H42" s="35" t="s">
        <v>71</v>
      </c>
      <c r="I42" s="35" t="s">
        <v>96</v>
      </c>
      <c r="J42" s="35" t="s">
        <v>73</v>
      </c>
      <c r="K42" s="34">
        <v>7</v>
      </c>
      <c r="L42" s="34">
        <v>450</v>
      </c>
      <c r="M42" s="34">
        <v>0.15</v>
      </c>
      <c r="N42" s="32" t="s">
        <v>92</v>
      </c>
      <c r="O42" s="32" t="s">
        <v>125</v>
      </c>
      <c r="P42" s="33">
        <v>46078</v>
      </c>
      <c r="Q42" s="34">
        <v>5</v>
      </c>
      <c r="R42" s="32" t="s">
        <v>57</v>
      </c>
      <c r="S42" s="35" t="s">
        <v>77</v>
      </c>
      <c r="T42" s="34">
        <f t="shared" si="3"/>
        <v>3150</v>
      </c>
      <c r="U42" s="34">
        <f t="shared" si="4"/>
        <v>472.5</v>
      </c>
      <c r="V42" s="34">
        <f t="shared" si="5"/>
        <v>2677.5</v>
      </c>
    </row>
    <row r="43" spans="1:22" ht="20.100000000000001" customHeight="1" x14ac:dyDescent="0.3">
      <c r="A43" s="31" t="s">
        <v>168</v>
      </c>
      <c r="B43" s="33">
        <v>46248</v>
      </c>
      <c r="C43" s="35" t="s">
        <v>118</v>
      </c>
      <c r="D43" s="32" t="s">
        <v>49</v>
      </c>
      <c r="E43" s="34">
        <v>51</v>
      </c>
      <c r="F43" s="32" t="s">
        <v>95</v>
      </c>
      <c r="G43" s="32" t="s">
        <v>51</v>
      </c>
      <c r="H43" s="35" t="s">
        <v>71</v>
      </c>
      <c r="I43" s="35" t="s">
        <v>85</v>
      </c>
      <c r="J43" s="35" t="s">
        <v>82</v>
      </c>
      <c r="K43" s="34">
        <v>13</v>
      </c>
      <c r="L43" s="34">
        <v>85</v>
      </c>
      <c r="M43" s="34">
        <v>0.15</v>
      </c>
      <c r="N43" s="32" t="s">
        <v>65</v>
      </c>
      <c r="O43" s="32" t="s">
        <v>75</v>
      </c>
      <c r="P43" s="33">
        <v>46255</v>
      </c>
      <c r="Q43" s="34">
        <v>5</v>
      </c>
      <c r="R43" s="32" t="s">
        <v>57</v>
      </c>
      <c r="S43" s="35"/>
      <c r="T43" s="34">
        <f t="shared" si="3"/>
        <v>1105</v>
      </c>
      <c r="U43" s="34">
        <f t="shared" si="4"/>
        <v>165.75</v>
      </c>
      <c r="V43" s="34">
        <f t="shared" si="5"/>
        <v>939.25</v>
      </c>
    </row>
    <row r="44" spans="1:22" ht="20.100000000000001" customHeight="1" x14ac:dyDescent="0.3">
      <c r="A44" s="31" t="s">
        <v>169</v>
      </c>
      <c r="B44" s="33">
        <v>46079</v>
      </c>
      <c r="C44" s="35" t="s">
        <v>167</v>
      </c>
      <c r="D44" s="32" t="s">
        <v>49</v>
      </c>
      <c r="E44" s="34">
        <v>22</v>
      </c>
      <c r="F44" s="32" t="s">
        <v>120</v>
      </c>
      <c r="G44" s="32" t="s">
        <v>51</v>
      </c>
      <c r="H44" s="35" t="s">
        <v>71</v>
      </c>
      <c r="I44" s="35" t="s">
        <v>96</v>
      </c>
      <c r="J44" s="35" t="s">
        <v>54</v>
      </c>
      <c r="K44" s="34">
        <v>6</v>
      </c>
      <c r="L44" s="34">
        <v>450</v>
      </c>
      <c r="M44" s="34">
        <v>0.15</v>
      </c>
      <c r="N44" s="32" t="s">
        <v>86</v>
      </c>
      <c r="O44" s="32" t="s">
        <v>125</v>
      </c>
      <c r="P44" s="33">
        <v>46082</v>
      </c>
      <c r="Q44" s="34">
        <v>5</v>
      </c>
      <c r="R44" s="32" t="s">
        <v>57</v>
      </c>
      <c r="S44" s="35" t="s">
        <v>121</v>
      </c>
      <c r="T44" s="34">
        <f t="shared" si="3"/>
        <v>2700</v>
      </c>
      <c r="U44" s="34">
        <f t="shared" si="4"/>
        <v>405</v>
      </c>
      <c r="V44" s="34">
        <f t="shared" si="5"/>
        <v>2295</v>
      </c>
    </row>
    <row r="45" spans="1:22" ht="20.100000000000001" customHeight="1" x14ac:dyDescent="0.3">
      <c r="A45" s="31" t="s">
        <v>170</v>
      </c>
      <c r="B45" s="33">
        <v>46174</v>
      </c>
      <c r="C45" s="35" t="s">
        <v>114</v>
      </c>
      <c r="D45" s="32" t="s">
        <v>61</v>
      </c>
      <c r="E45" s="34">
        <v>26</v>
      </c>
      <c r="F45" s="32" t="s">
        <v>89</v>
      </c>
      <c r="G45" s="32" t="s">
        <v>90</v>
      </c>
      <c r="H45" s="35" t="s">
        <v>71</v>
      </c>
      <c r="I45" s="35" t="s">
        <v>160</v>
      </c>
      <c r="J45" s="35" t="s">
        <v>82</v>
      </c>
      <c r="K45" s="34">
        <v>15</v>
      </c>
      <c r="L45" s="34">
        <v>45</v>
      </c>
      <c r="M45" s="34">
        <v>0.05</v>
      </c>
      <c r="N45" s="32" t="s">
        <v>55</v>
      </c>
      <c r="O45" s="32" t="s">
        <v>56</v>
      </c>
      <c r="P45" s="33">
        <v>46179</v>
      </c>
      <c r="Q45" s="34">
        <v>3</v>
      </c>
      <c r="R45" s="32" t="s">
        <v>57</v>
      </c>
      <c r="S45" s="35" t="s">
        <v>121</v>
      </c>
      <c r="T45" s="34">
        <f t="shared" si="3"/>
        <v>675</v>
      </c>
      <c r="U45" s="34">
        <f t="shared" si="4"/>
        <v>33.75</v>
      </c>
      <c r="V45" s="34">
        <f t="shared" si="5"/>
        <v>641.25</v>
      </c>
    </row>
    <row r="46" spans="1:22" ht="20.100000000000001" customHeight="1" x14ac:dyDescent="0.3">
      <c r="A46" s="31" t="s">
        <v>171</v>
      </c>
      <c r="B46" s="33">
        <v>46106</v>
      </c>
      <c r="C46" s="35" t="s">
        <v>94</v>
      </c>
      <c r="D46" s="32" t="s">
        <v>49</v>
      </c>
      <c r="E46" s="34">
        <v>38</v>
      </c>
      <c r="F46" s="32" t="s">
        <v>69</v>
      </c>
      <c r="G46" s="32" t="s">
        <v>70</v>
      </c>
      <c r="H46" s="35" t="s">
        <v>71</v>
      </c>
      <c r="I46" s="35" t="s">
        <v>85</v>
      </c>
      <c r="J46" s="35" t="s">
        <v>82</v>
      </c>
      <c r="K46" s="34">
        <v>3</v>
      </c>
      <c r="L46" s="34">
        <v>85</v>
      </c>
      <c r="M46" s="34">
        <v>0.15</v>
      </c>
      <c r="N46" s="32" t="s">
        <v>55</v>
      </c>
      <c r="O46" s="32" t="s">
        <v>75</v>
      </c>
      <c r="P46" s="33">
        <v>46109</v>
      </c>
      <c r="Q46" s="34">
        <v>1</v>
      </c>
      <c r="R46" s="32" t="s">
        <v>76</v>
      </c>
      <c r="S46" s="35" t="s">
        <v>129</v>
      </c>
      <c r="T46" s="34">
        <f t="shared" si="3"/>
        <v>255</v>
      </c>
      <c r="U46" s="34">
        <f t="shared" si="4"/>
        <v>38.25</v>
      </c>
      <c r="V46" s="34">
        <f t="shared" si="5"/>
        <v>216.75</v>
      </c>
    </row>
    <row r="47" spans="1:22" ht="20.100000000000001" customHeight="1" x14ac:dyDescent="0.3">
      <c r="A47" s="31" t="s">
        <v>172</v>
      </c>
      <c r="B47" s="33">
        <v>46189</v>
      </c>
      <c r="C47" s="35" t="s">
        <v>94</v>
      </c>
      <c r="D47" s="32" t="s">
        <v>61</v>
      </c>
      <c r="E47" s="34">
        <v>22</v>
      </c>
      <c r="F47" s="32" t="s">
        <v>50</v>
      </c>
      <c r="G47" s="32" t="s">
        <v>51</v>
      </c>
      <c r="H47" s="35" t="s">
        <v>52</v>
      </c>
      <c r="I47" s="35" t="s">
        <v>53</v>
      </c>
      <c r="J47" s="35" t="s">
        <v>143</v>
      </c>
      <c r="K47" s="34">
        <v>5</v>
      </c>
      <c r="L47" s="34">
        <v>55000</v>
      </c>
      <c r="M47" s="34">
        <v>0.05</v>
      </c>
      <c r="N47" s="32" t="s">
        <v>86</v>
      </c>
      <c r="O47" s="32" t="s">
        <v>56</v>
      </c>
      <c r="P47" s="33">
        <v>46190</v>
      </c>
      <c r="Q47" s="34">
        <v>1</v>
      </c>
      <c r="R47" s="32" t="s">
        <v>57</v>
      </c>
      <c r="S47" s="35" t="s">
        <v>121</v>
      </c>
      <c r="T47" s="34">
        <f t="shared" si="3"/>
        <v>275000</v>
      </c>
      <c r="U47" s="34">
        <f t="shared" si="4"/>
        <v>13750</v>
      </c>
      <c r="V47" s="34">
        <f t="shared" si="5"/>
        <v>261250</v>
      </c>
    </row>
    <row r="48" spans="1:22" ht="20.100000000000001" customHeight="1" x14ac:dyDescent="0.3">
      <c r="A48" s="31" t="s">
        <v>173</v>
      </c>
      <c r="B48" s="33">
        <v>46202</v>
      </c>
      <c r="C48" s="35" t="s">
        <v>94</v>
      </c>
      <c r="D48" s="32" t="s">
        <v>49</v>
      </c>
      <c r="E48" s="34">
        <v>31</v>
      </c>
      <c r="F48" s="32" t="s">
        <v>138</v>
      </c>
      <c r="G48" s="32" t="s">
        <v>138</v>
      </c>
      <c r="H48" s="35" t="s">
        <v>62</v>
      </c>
      <c r="I48" s="35" t="s">
        <v>124</v>
      </c>
      <c r="J48" s="35" t="s">
        <v>82</v>
      </c>
      <c r="K48" s="34">
        <v>6</v>
      </c>
      <c r="L48" s="34">
        <v>2200</v>
      </c>
      <c r="M48" s="34">
        <v>0.1</v>
      </c>
      <c r="N48" s="32" t="s">
        <v>55</v>
      </c>
      <c r="O48" s="32" t="s">
        <v>56</v>
      </c>
      <c r="P48" s="33">
        <v>46205</v>
      </c>
      <c r="Q48" s="34">
        <v>3</v>
      </c>
      <c r="R48" s="32" t="s">
        <v>76</v>
      </c>
      <c r="S48" s="35" t="s">
        <v>121</v>
      </c>
      <c r="T48" s="34">
        <f t="shared" si="3"/>
        <v>13200</v>
      </c>
      <c r="U48" s="34">
        <f t="shared" si="4"/>
        <v>1320</v>
      </c>
      <c r="V48" s="34">
        <f t="shared" si="5"/>
        <v>11880</v>
      </c>
    </row>
    <row r="49" spans="1:22" ht="20.100000000000001" customHeight="1" x14ac:dyDescent="0.3">
      <c r="A49" s="31" t="s">
        <v>174</v>
      </c>
      <c r="B49" s="33">
        <v>46206</v>
      </c>
      <c r="C49" s="35" t="s">
        <v>111</v>
      </c>
      <c r="D49" s="32" t="s">
        <v>61</v>
      </c>
      <c r="E49" s="34">
        <v>27</v>
      </c>
      <c r="F49" s="32" t="s">
        <v>131</v>
      </c>
      <c r="G49" s="32" t="s">
        <v>132</v>
      </c>
      <c r="H49" s="35" t="s">
        <v>71</v>
      </c>
      <c r="I49" s="35" t="s">
        <v>112</v>
      </c>
      <c r="J49" s="35" t="s">
        <v>82</v>
      </c>
      <c r="K49" s="34">
        <v>4</v>
      </c>
      <c r="L49" s="34">
        <v>320</v>
      </c>
      <c r="M49" s="34">
        <v>0.2</v>
      </c>
      <c r="N49" s="32" t="s">
        <v>55</v>
      </c>
      <c r="O49" s="32" t="s">
        <v>56</v>
      </c>
      <c r="P49" s="33">
        <v>46208</v>
      </c>
      <c r="Q49" s="34">
        <v>4</v>
      </c>
      <c r="R49" s="32" t="s">
        <v>76</v>
      </c>
      <c r="S49" s="35" t="s">
        <v>58</v>
      </c>
      <c r="T49" s="34">
        <f t="shared" si="3"/>
        <v>1280</v>
      </c>
      <c r="U49" s="34">
        <f t="shared" si="4"/>
        <v>256</v>
      </c>
      <c r="V49" s="34">
        <f t="shared" si="5"/>
        <v>1024</v>
      </c>
    </row>
    <row r="50" spans="1:22" ht="20.100000000000001" customHeight="1" x14ac:dyDescent="0.3">
      <c r="A50" s="31" t="s">
        <v>175</v>
      </c>
      <c r="B50" s="33">
        <v>46152</v>
      </c>
      <c r="C50" s="35" t="s">
        <v>148</v>
      </c>
      <c r="D50" s="32" t="s">
        <v>61</v>
      </c>
      <c r="E50" s="34">
        <v>47</v>
      </c>
      <c r="F50" s="32" t="s">
        <v>123</v>
      </c>
      <c r="G50" s="32" t="s">
        <v>51</v>
      </c>
      <c r="H50" s="35" t="s">
        <v>52</v>
      </c>
      <c r="I50" s="35" t="s">
        <v>150</v>
      </c>
      <c r="J50" s="35" t="s">
        <v>97</v>
      </c>
      <c r="K50" s="34">
        <v>21</v>
      </c>
      <c r="L50" s="34">
        <v>14500</v>
      </c>
      <c r="M50" s="34">
        <v>0.15</v>
      </c>
      <c r="N50" s="32" t="s">
        <v>86</v>
      </c>
      <c r="O50" s="32" t="s">
        <v>56</v>
      </c>
      <c r="P50" s="33">
        <v>46158</v>
      </c>
      <c r="Q50" s="34">
        <v>5</v>
      </c>
      <c r="R50" s="32" t="s">
        <v>76</v>
      </c>
      <c r="S50" s="35" t="s">
        <v>104</v>
      </c>
      <c r="T50" s="34">
        <f t="shared" si="3"/>
        <v>304500</v>
      </c>
      <c r="U50" s="34">
        <f t="shared" si="4"/>
        <v>45675</v>
      </c>
      <c r="V50" s="34">
        <f t="shared" si="5"/>
        <v>258825</v>
      </c>
    </row>
    <row r="51" spans="1:22" ht="20.100000000000001" customHeight="1" x14ac:dyDescent="0.3">
      <c r="A51" s="31" t="s">
        <v>176</v>
      </c>
      <c r="B51" s="33">
        <v>46229</v>
      </c>
      <c r="C51" s="35" t="s">
        <v>94</v>
      </c>
      <c r="D51" s="32" t="s">
        <v>49</v>
      </c>
      <c r="E51" s="34">
        <v>50</v>
      </c>
      <c r="F51" s="32" t="s">
        <v>120</v>
      </c>
      <c r="G51" s="32" t="s">
        <v>51</v>
      </c>
      <c r="H51" s="35" t="s">
        <v>62</v>
      </c>
      <c r="I51" s="35" t="s">
        <v>63</v>
      </c>
      <c r="J51" s="35" t="s">
        <v>97</v>
      </c>
      <c r="K51" s="34">
        <v>11</v>
      </c>
      <c r="L51" s="34">
        <v>250</v>
      </c>
      <c r="M51" s="34">
        <v>0.05</v>
      </c>
      <c r="N51" s="32" t="s">
        <v>55</v>
      </c>
      <c r="O51" s="32" t="s">
        <v>56</v>
      </c>
      <c r="P51" s="33">
        <v>46234</v>
      </c>
      <c r="Q51" s="34">
        <v>4</v>
      </c>
      <c r="R51" s="32" t="s">
        <v>57</v>
      </c>
      <c r="S51" s="35" t="s">
        <v>77</v>
      </c>
      <c r="T51" s="34">
        <f t="shared" si="3"/>
        <v>2750</v>
      </c>
      <c r="U51" s="34">
        <f t="shared" si="4"/>
        <v>137.5</v>
      </c>
      <c r="V51" s="34">
        <f t="shared" si="5"/>
        <v>2612.5</v>
      </c>
    </row>
    <row r="52" spans="1:22" ht="20.100000000000001" customHeight="1" x14ac:dyDescent="0.3">
      <c r="A52" s="31" t="s">
        <v>177</v>
      </c>
      <c r="B52" s="33">
        <v>46141</v>
      </c>
      <c r="C52" s="35" t="s">
        <v>164</v>
      </c>
      <c r="D52" s="32" t="s">
        <v>49</v>
      </c>
      <c r="E52" s="34">
        <v>42</v>
      </c>
      <c r="F52" s="32" t="s">
        <v>95</v>
      </c>
      <c r="G52" s="32" t="s">
        <v>51</v>
      </c>
      <c r="H52" s="35" t="s">
        <v>71</v>
      </c>
      <c r="I52" s="35" t="s">
        <v>85</v>
      </c>
      <c r="J52" s="35" t="s">
        <v>103</v>
      </c>
      <c r="K52" s="34">
        <v>16</v>
      </c>
      <c r="L52" s="34">
        <v>85</v>
      </c>
      <c r="M52" s="34">
        <v>0.05</v>
      </c>
      <c r="N52" s="32" t="s">
        <v>74</v>
      </c>
      <c r="O52" s="32" t="s">
        <v>75</v>
      </c>
      <c r="P52" s="33">
        <v>46146</v>
      </c>
      <c r="Q52" s="34">
        <v>3</v>
      </c>
      <c r="R52" s="32" t="s">
        <v>76</v>
      </c>
      <c r="S52" s="35" t="s">
        <v>104</v>
      </c>
      <c r="T52" s="34">
        <f t="shared" si="3"/>
        <v>1360</v>
      </c>
      <c r="U52" s="34">
        <f t="shared" si="4"/>
        <v>68</v>
      </c>
      <c r="V52" s="34">
        <f t="shared" si="5"/>
        <v>1292</v>
      </c>
    </row>
    <row r="53" spans="1:22" ht="20.100000000000001" customHeight="1" x14ac:dyDescent="0.3">
      <c r="A53" s="31" t="s">
        <v>178</v>
      </c>
      <c r="B53" s="33">
        <v>46202</v>
      </c>
      <c r="C53" s="35" t="s">
        <v>179</v>
      </c>
      <c r="D53" s="32" t="s">
        <v>61</v>
      </c>
      <c r="E53" s="34">
        <v>54</v>
      </c>
      <c r="F53" s="32" t="s">
        <v>50</v>
      </c>
      <c r="G53" s="32" t="s">
        <v>51</v>
      </c>
      <c r="H53" s="35" t="s">
        <v>52</v>
      </c>
      <c r="I53" s="35" t="s">
        <v>100</v>
      </c>
      <c r="J53" s="35" t="s">
        <v>54</v>
      </c>
      <c r="K53" s="34">
        <v>14</v>
      </c>
      <c r="L53" s="34">
        <v>1200</v>
      </c>
      <c r="M53" s="34">
        <v>0.15</v>
      </c>
      <c r="N53" s="32" t="s">
        <v>65</v>
      </c>
      <c r="O53" s="32" t="s">
        <v>75</v>
      </c>
      <c r="P53" s="33">
        <v>46205</v>
      </c>
      <c r="Q53" s="34">
        <v>4</v>
      </c>
      <c r="R53" s="32" t="s">
        <v>76</v>
      </c>
      <c r="S53" s="35" t="s">
        <v>121</v>
      </c>
      <c r="T53" s="34">
        <f t="shared" si="3"/>
        <v>16800</v>
      </c>
      <c r="U53" s="34">
        <f t="shared" si="4"/>
        <v>2520</v>
      </c>
      <c r="V53" s="34">
        <f t="shared" si="5"/>
        <v>14280</v>
      </c>
    </row>
    <row r="54" spans="1:22" ht="20.100000000000001" customHeight="1" x14ac:dyDescent="0.3">
      <c r="A54" s="31" t="s">
        <v>180</v>
      </c>
      <c r="B54" s="33">
        <v>46225</v>
      </c>
      <c r="C54" s="35" t="s">
        <v>111</v>
      </c>
      <c r="D54" s="32" t="s">
        <v>49</v>
      </c>
      <c r="E54" s="34">
        <v>35</v>
      </c>
      <c r="F54" s="32" t="s">
        <v>120</v>
      </c>
      <c r="G54" s="32" t="s">
        <v>51</v>
      </c>
      <c r="H54" s="35" t="s">
        <v>62</v>
      </c>
      <c r="I54" s="35" t="s">
        <v>135</v>
      </c>
      <c r="J54" s="35" t="s">
        <v>97</v>
      </c>
      <c r="K54" s="34">
        <v>22</v>
      </c>
      <c r="L54" s="34">
        <v>3500</v>
      </c>
      <c r="M54" s="34">
        <v>0.2</v>
      </c>
      <c r="N54" s="32" t="s">
        <v>74</v>
      </c>
      <c r="O54" s="32" t="s">
        <v>56</v>
      </c>
      <c r="P54" s="33">
        <v>46226</v>
      </c>
      <c r="Q54" s="34">
        <v>5</v>
      </c>
      <c r="R54" s="32" t="s">
        <v>76</v>
      </c>
      <c r="S54" s="35" t="s">
        <v>121</v>
      </c>
      <c r="T54" s="34">
        <f t="shared" si="3"/>
        <v>77000</v>
      </c>
      <c r="U54" s="34">
        <f t="shared" si="4"/>
        <v>15400</v>
      </c>
      <c r="V54" s="34">
        <f t="shared" si="5"/>
        <v>61600</v>
      </c>
    </row>
    <row r="55" spans="1:22" ht="20.100000000000001" customHeight="1" x14ac:dyDescent="0.3">
      <c r="A55" s="31" t="s">
        <v>181</v>
      </c>
      <c r="B55" s="33">
        <v>46213</v>
      </c>
      <c r="C55" s="35" t="s">
        <v>148</v>
      </c>
      <c r="D55" s="32" t="s">
        <v>49</v>
      </c>
      <c r="E55" s="34">
        <v>50</v>
      </c>
      <c r="F55" s="32" t="s">
        <v>99</v>
      </c>
      <c r="G55" s="32" t="s">
        <v>51</v>
      </c>
      <c r="H55" s="35" t="s">
        <v>71</v>
      </c>
      <c r="I55" s="35" t="s">
        <v>85</v>
      </c>
      <c r="J55" s="35" t="s">
        <v>103</v>
      </c>
      <c r="K55" s="34">
        <v>4</v>
      </c>
      <c r="L55" s="34">
        <v>85</v>
      </c>
      <c r="M55" s="34">
        <v>0.25</v>
      </c>
      <c r="N55" s="32" t="s">
        <v>86</v>
      </c>
      <c r="O55" s="32" t="s">
        <v>56</v>
      </c>
      <c r="P55" s="33">
        <v>46218</v>
      </c>
      <c r="Q55" s="34">
        <v>5</v>
      </c>
      <c r="R55" s="32" t="s">
        <v>57</v>
      </c>
      <c r="S55" s="35" t="s">
        <v>129</v>
      </c>
      <c r="T55" s="34">
        <f t="shared" si="3"/>
        <v>340</v>
      </c>
      <c r="U55" s="34">
        <f t="shared" si="4"/>
        <v>85</v>
      </c>
      <c r="V55" s="34">
        <f t="shared" si="5"/>
        <v>255</v>
      </c>
    </row>
    <row r="56" spans="1:22" ht="20.100000000000001" customHeight="1" x14ac:dyDescent="0.3">
      <c r="A56" s="31" t="s">
        <v>182</v>
      </c>
      <c r="B56" s="33">
        <v>46078</v>
      </c>
      <c r="C56" s="35" t="s">
        <v>183</v>
      </c>
      <c r="D56" s="32" t="s">
        <v>49</v>
      </c>
      <c r="E56" s="34">
        <v>58</v>
      </c>
      <c r="F56" s="32" t="s">
        <v>69</v>
      </c>
      <c r="G56" s="32" t="s">
        <v>70</v>
      </c>
      <c r="H56" s="35" t="s">
        <v>62</v>
      </c>
      <c r="I56" s="35" t="s">
        <v>63</v>
      </c>
      <c r="J56" s="35" t="s">
        <v>97</v>
      </c>
      <c r="K56" s="34">
        <v>4</v>
      </c>
      <c r="L56" s="34">
        <v>250</v>
      </c>
      <c r="M56" s="34">
        <v>0.05</v>
      </c>
      <c r="N56" s="32" t="s">
        <v>74</v>
      </c>
      <c r="O56" s="32" t="s">
        <v>56</v>
      </c>
      <c r="P56" s="33">
        <v>46084</v>
      </c>
      <c r="Q56" s="34">
        <v>2</v>
      </c>
      <c r="R56" s="32" t="s">
        <v>76</v>
      </c>
      <c r="S56" s="35" t="s">
        <v>58</v>
      </c>
      <c r="T56" s="34">
        <f t="shared" si="3"/>
        <v>1000</v>
      </c>
      <c r="U56" s="34">
        <f t="shared" si="4"/>
        <v>50</v>
      </c>
      <c r="V56" s="34">
        <f t="shared" si="5"/>
        <v>950</v>
      </c>
    </row>
    <row r="57" spans="1:22" ht="20.100000000000001" customHeight="1" x14ac:dyDescent="0.3">
      <c r="A57" s="31" t="s">
        <v>184</v>
      </c>
      <c r="B57" s="33">
        <v>46204</v>
      </c>
      <c r="C57" s="35" t="s">
        <v>185</v>
      </c>
      <c r="D57" s="32" t="s">
        <v>49</v>
      </c>
      <c r="E57" s="34">
        <v>23</v>
      </c>
      <c r="F57" s="32" t="s">
        <v>95</v>
      </c>
      <c r="G57" s="32" t="s">
        <v>51</v>
      </c>
      <c r="H57" s="35" t="s">
        <v>62</v>
      </c>
      <c r="I57" s="35" t="s">
        <v>81</v>
      </c>
      <c r="J57" s="35" t="s">
        <v>54</v>
      </c>
      <c r="K57" s="34">
        <v>5</v>
      </c>
      <c r="L57" s="34">
        <v>750</v>
      </c>
      <c r="M57" s="34">
        <v>0.25</v>
      </c>
      <c r="N57" s="32" t="s">
        <v>92</v>
      </c>
      <c r="O57" s="32" t="s">
        <v>56</v>
      </c>
      <c r="P57" s="33">
        <v>46209</v>
      </c>
      <c r="Q57" s="34">
        <v>1</v>
      </c>
      <c r="R57" s="32" t="s">
        <v>76</v>
      </c>
      <c r="S57" s="35" t="s">
        <v>121</v>
      </c>
      <c r="T57" s="34">
        <f t="shared" si="3"/>
        <v>3750</v>
      </c>
      <c r="U57" s="34">
        <f t="shared" si="4"/>
        <v>937.5</v>
      </c>
      <c r="V57" s="34">
        <f t="shared" si="5"/>
        <v>2812.5</v>
      </c>
    </row>
    <row r="58" spans="1:22" ht="20.100000000000001" customHeight="1" x14ac:dyDescent="0.3">
      <c r="A58" s="31" t="s">
        <v>186</v>
      </c>
      <c r="B58" s="33">
        <v>46145</v>
      </c>
      <c r="C58" s="35" t="s">
        <v>148</v>
      </c>
      <c r="D58" s="32" t="s">
        <v>61</v>
      </c>
      <c r="E58" s="34">
        <v>24</v>
      </c>
      <c r="F58" s="32" t="s">
        <v>99</v>
      </c>
      <c r="G58" s="32" t="s">
        <v>51</v>
      </c>
      <c r="H58" s="35" t="s">
        <v>71</v>
      </c>
      <c r="I58" s="35" t="s">
        <v>72</v>
      </c>
      <c r="J58" s="35" t="s">
        <v>82</v>
      </c>
      <c r="K58" s="34">
        <v>3</v>
      </c>
      <c r="L58" s="34">
        <v>150</v>
      </c>
      <c r="M58" s="34">
        <v>0.15</v>
      </c>
      <c r="N58" s="32" t="s">
        <v>92</v>
      </c>
      <c r="O58" s="32" t="s">
        <v>56</v>
      </c>
      <c r="P58" s="33">
        <v>46149</v>
      </c>
      <c r="Q58" s="34">
        <v>1</v>
      </c>
      <c r="R58" s="32" t="s">
        <v>57</v>
      </c>
      <c r="S58" s="35" t="s">
        <v>129</v>
      </c>
      <c r="T58" s="34">
        <f t="shared" si="3"/>
        <v>450</v>
      </c>
      <c r="U58" s="34">
        <f t="shared" si="4"/>
        <v>67.5</v>
      </c>
      <c r="V58" s="34">
        <f t="shared" si="5"/>
        <v>382.5</v>
      </c>
    </row>
    <row r="59" spans="1:22" ht="20.100000000000001" customHeight="1" x14ac:dyDescent="0.3">
      <c r="A59" s="31" t="s">
        <v>187</v>
      </c>
      <c r="B59" s="33">
        <v>46230</v>
      </c>
      <c r="C59" s="35" t="s">
        <v>84</v>
      </c>
      <c r="D59" s="32" t="s">
        <v>61</v>
      </c>
      <c r="E59" s="34">
        <v>36</v>
      </c>
      <c r="F59" s="32" t="s">
        <v>80</v>
      </c>
      <c r="G59" s="32" t="s">
        <v>51</v>
      </c>
      <c r="H59" s="35" t="s">
        <v>62</v>
      </c>
      <c r="I59" s="35" t="s">
        <v>146</v>
      </c>
      <c r="J59" s="35" t="s">
        <v>143</v>
      </c>
      <c r="K59" s="34">
        <v>20</v>
      </c>
      <c r="L59" s="34">
        <v>1800</v>
      </c>
      <c r="M59" s="34">
        <v>0.2</v>
      </c>
      <c r="N59" s="32" t="s">
        <v>86</v>
      </c>
      <c r="O59" s="32" t="s">
        <v>75</v>
      </c>
      <c r="P59" s="33">
        <v>46235</v>
      </c>
      <c r="Q59" s="34">
        <v>4</v>
      </c>
      <c r="R59" s="32" t="s">
        <v>76</v>
      </c>
      <c r="S59" s="35" t="s">
        <v>121</v>
      </c>
      <c r="T59" s="34">
        <f t="shared" si="3"/>
        <v>36000</v>
      </c>
      <c r="U59" s="34">
        <f t="shared" si="4"/>
        <v>7200</v>
      </c>
      <c r="V59" s="34">
        <f t="shared" si="5"/>
        <v>28800</v>
      </c>
    </row>
    <row r="60" spans="1:22" ht="20.100000000000001" customHeight="1" x14ac:dyDescent="0.3">
      <c r="A60" s="31" t="s">
        <v>188</v>
      </c>
      <c r="B60" s="33">
        <v>46099</v>
      </c>
      <c r="C60" s="35" t="s">
        <v>118</v>
      </c>
      <c r="D60" s="32" t="s">
        <v>49</v>
      </c>
      <c r="E60" s="34">
        <v>40</v>
      </c>
      <c r="F60" s="32" t="s">
        <v>138</v>
      </c>
      <c r="G60" s="32" t="s">
        <v>138</v>
      </c>
      <c r="H60" s="35" t="s">
        <v>62</v>
      </c>
      <c r="I60" s="35" t="s">
        <v>124</v>
      </c>
      <c r="J60" s="35" t="s">
        <v>143</v>
      </c>
      <c r="K60" s="34">
        <v>24</v>
      </c>
      <c r="L60" s="34">
        <v>2200</v>
      </c>
      <c r="M60" s="34">
        <v>0</v>
      </c>
      <c r="N60" s="32" t="s">
        <v>86</v>
      </c>
      <c r="O60" s="32" t="s">
        <v>56</v>
      </c>
      <c r="P60" s="33">
        <v>46106</v>
      </c>
      <c r="Q60" s="34">
        <v>3</v>
      </c>
      <c r="R60" s="32" t="s">
        <v>57</v>
      </c>
      <c r="S60" s="35" t="s">
        <v>129</v>
      </c>
      <c r="T60" s="34">
        <f t="shared" si="3"/>
        <v>52800</v>
      </c>
      <c r="U60" s="34">
        <f t="shared" si="4"/>
        <v>0</v>
      </c>
      <c r="V60" s="34">
        <f t="shared" si="5"/>
        <v>52800</v>
      </c>
    </row>
    <row r="61" spans="1:22" ht="20.100000000000001" customHeight="1" x14ac:dyDescent="0.3">
      <c r="A61" s="31" t="s">
        <v>188</v>
      </c>
      <c r="B61" s="33">
        <v>46084</v>
      </c>
      <c r="C61" s="35" t="s">
        <v>179</v>
      </c>
      <c r="D61" s="32" t="s">
        <v>61</v>
      </c>
      <c r="E61" s="34">
        <v>31</v>
      </c>
      <c r="F61" s="32" t="s">
        <v>95</v>
      </c>
      <c r="G61" s="32" t="s">
        <v>51</v>
      </c>
      <c r="H61" s="35" t="s">
        <v>71</v>
      </c>
      <c r="I61" s="35" t="s">
        <v>96</v>
      </c>
      <c r="J61" s="35" t="s">
        <v>54</v>
      </c>
      <c r="K61" s="34">
        <v>20</v>
      </c>
      <c r="L61" s="34">
        <v>450</v>
      </c>
      <c r="M61" s="34">
        <v>0.15</v>
      </c>
      <c r="N61" s="32" t="s">
        <v>74</v>
      </c>
      <c r="O61" s="32" t="s">
        <v>56</v>
      </c>
      <c r="P61" s="33">
        <v>46086</v>
      </c>
      <c r="Q61" s="34">
        <v>3</v>
      </c>
      <c r="R61" s="32" t="s">
        <v>76</v>
      </c>
      <c r="S61" s="35" t="s">
        <v>66</v>
      </c>
      <c r="T61" s="34">
        <f t="shared" si="3"/>
        <v>9000</v>
      </c>
      <c r="U61" s="34">
        <f t="shared" si="4"/>
        <v>1350</v>
      </c>
      <c r="V61" s="34">
        <f t="shared" si="5"/>
        <v>7650</v>
      </c>
    </row>
    <row r="62" spans="1:22" ht="20.100000000000001" customHeight="1" x14ac:dyDescent="0.3">
      <c r="A62" s="31" t="s">
        <v>189</v>
      </c>
      <c r="B62" s="33">
        <v>46243</v>
      </c>
      <c r="C62" s="35" t="s">
        <v>111</v>
      </c>
      <c r="D62" s="32" t="s">
        <v>61</v>
      </c>
      <c r="E62" s="34">
        <v>37</v>
      </c>
      <c r="F62" s="32" t="s">
        <v>69</v>
      </c>
      <c r="G62" s="32" t="s">
        <v>70</v>
      </c>
      <c r="H62" s="35" t="s">
        <v>62</v>
      </c>
      <c r="I62" s="35" t="s">
        <v>63</v>
      </c>
      <c r="J62" s="35" t="s">
        <v>54</v>
      </c>
      <c r="K62" s="34">
        <v>7</v>
      </c>
      <c r="L62" s="34">
        <v>250</v>
      </c>
      <c r="M62" s="34">
        <v>0.15</v>
      </c>
      <c r="N62" s="32" t="s">
        <v>55</v>
      </c>
      <c r="O62" s="32" t="s">
        <v>56</v>
      </c>
      <c r="P62" s="33">
        <v>46247</v>
      </c>
      <c r="Q62" s="34">
        <v>2</v>
      </c>
      <c r="R62" s="32" t="s">
        <v>76</v>
      </c>
      <c r="S62" s="35" t="s">
        <v>77</v>
      </c>
      <c r="T62" s="34">
        <f t="shared" si="3"/>
        <v>1750</v>
      </c>
      <c r="U62" s="34">
        <f t="shared" si="4"/>
        <v>262.5</v>
      </c>
      <c r="V62" s="34">
        <f t="shared" si="5"/>
        <v>1487.5</v>
      </c>
    </row>
    <row r="63" spans="1:22" ht="20.100000000000001" customHeight="1" x14ac:dyDescent="0.3">
      <c r="A63" s="31" t="s">
        <v>190</v>
      </c>
      <c r="B63" s="33">
        <v>46059</v>
      </c>
      <c r="C63" s="35" t="s">
        <v>141</v>
      </c>
      <c r="D63" s="32" t="s">
        <v>61</v>
      </c>
      <c r="E63" s="34">
        <v>40</v>
      </c>
      <c r="F63" s="32" t="s">
        <v>138</v>
      </c>
      <c r="G63" s="32" t="s">
        <v>138</v>
      </c>
      <c r="H63" s="35" t="s">
        <v>62</v>
      </c>
      <c r="I63" s="35" t="s">
        <v>63</v>
      </c>
      <c r="J63" s="35" t="s">
        <v>97</v>
      </c>
      <c r="K63" s="34">
        <v>15</v>
      </c>
      <c r="L63" s="34">
        <v>250</v>
      </c>
      <c r="M63" s="34">
        <v>0</v>
      </c>
      <c r="N63" s="32" t="s">
        <v>92</v>
      </c>
      <c r="O63" s="32" t="s">
        <v>56</v>
      </c>
      <c r="P63" s="33">
        <v>46060</v>
      </c>
      <c r="Q63" s="34">
        <v>4</v>
      </c>
      <c r="R63" s="32" t="s">
        <v>76</v>
      </c>
      <c r="S63" s="35" t="s">
        <v>104</v>
      </c>
      <c r="T63" s="34">
        <f t="shared" si="3"/>
        <v>3750</v>
      </c>
      <c r="U63" s="34">
        <f t="shared" si="4"/>
        <v>0</v>
      </c>
      <c r="V63" s="34">
        <f t="shared" si="5"/>
        <v>3750</v>
      </c>
    </row>
    <row r="64" spans="1:22" ht="20.100000000000001" customHeight="1" x14ac:dyDescent="0.3">
      <c r="A64" s="31" t="s">
        <v>191</v>
      </c>
      <c r="B64" s="33">
        <v>46161</v>
      </c>
      <c r="C64" s="35" t="s">
        <v>79</v>
      </c>
      <c r="D64" s="32" t="s">
        <v>61</v>
      </c>
      <c r="E64" s="34">
        <v>59</v>
      </c>
      <c r="F64" s="32" t="s">
        <v>95</v>
      </c>
      <c r="G64" s="32" t="s">
        <v>51</v>
      </c>
      <c r="H64" s="35" t="s">
        <v>71</v>
      </c>
      <c r="I64" s="35" t="s">
        <v>85</v>
      </c>
      <c r="J64" s="35" t="s">
        <v>143</v>
      </c>
      <c r="K64" s="34">
        <v>9</v>
      </c>
      <c r="L64" s="34">
        <v>85</v>
      </c>
      <c r="M64" s="34">
        <v>0</v>
      </c>
      <c r="N64" s="32" t="s">
        <v>55</v>
      </c>
      <c r="O64" s="32" t="s">
        <v>56</v>
      </c>
      <c r="P64" s="33">
        <v>46165</v>
      </c>
      <c r="Q64" s="34">
        <v>5</v>
      </c>
      <c r="R64" s="32" t="s">
        <v>57</v>
      </c>
      <c r="S64" s="35" t="s">
        <v>77</v>
      </c>
      <c r="T64" s="34">
        <f t="shared" si="3"/>
        <v>765</v>
      </c>
      <c r="U64" s="34">
        <f t="shared" si="4"/>
        <v>0</v>
      </c>
      <c r="V64" s="34">
        <f t="shared" si="5"/>
        <v>765</v>
      </c>
    </row>
    <row r="65" spans="1:22" ht="20.100000000000001" customHeight="1" x14ac:dyDescent="0.3">
      <c r="A65" s="31" t="s">
        <v>192</v>
      </c>
      <c r="B65" s="33">
        <v>46195</v>
      </c>
      <c r="C65" s="35" t="s">
        <v>68</v>
      </c>
      <c r="D65" s="32" t="s">
        <v>61</v>
      </c>
      <c r="E65" s="34">
        <v>32</v>
      </c>
      <c r="F65" s="32" t="s">
        <v>123</v>
      </c>
      <c r="G65" s="32" t="s">
        <v>51</v>
      </c>
      <c r="H65" s="35" t="s">
        <v>62</v>
      </c>
      <c r="I65" s="35" t="s">
        <v>146</v>
      </c>
      <c r="J65" s="35" t="s">
        <v>97</v>
      </c>
      <c r="K65" s="34">
        <v>6</v>
      </c>
      <c r="L65" s="34">
        <v>1800</v>
      </c>
      <c r="M65" s="34">
        <v>0.2</v>
      </c>
      <c r="N65" s="32" t="s">
        <v>92</v>
      </c>
      <c r="O65" s="32" t="s">
        <v>56</v>
      </c>
      <c r="P65" s="33">
        <v>46202</v>
      </c>
      <c r="Q65" s="34">
        <v>4</v>
      </c>
      <c r="R65" s="32" t="s">
        <v>57</v>
      </c>
      <c r="S65" s="35" t="s">
        <v>121</v>
      </c>
      <c r="T65" s="34">
        <f t="shared" si="3"/>
        <v>10800</v>
      </c>
      <c r="U65" s="34">
        <f t="shared" si="4"/>
        <v>2160</v>
      </c>
      <c r="V65" s="34">
        <f t="shared" si="5"/>
        <v>8640</v>
      </c>
    </row>
    <row r="66" spans="1:22" ht="20.100000000000001" customHeight="1" x14ac:dyDescent="0.3">
      <c r="A66" s="31" t="s">
        <v>193</v>
      </c>
      <c r="B66" s="33">
        <v>46112</v>
      </c>
      <c r="C66" s="35" t="s">
        <v>148</v>
      </c>
      <c r="D66" s="32" t="s">
        <v>49</v>
      </c>
      <c r="E66" s="34">
        <v>27</v>
      </c>
      <c r="F66" s="32" t="s">
        <v>128</v>
      </c>
      <c r="G66" s="32" t="s">
        <v>51</v>
      </c>
      <c r="H66" s="35" t="s">
        <v>71</v>
      </c>
      <c r="I66" s="35" t="s">
        <v>96</v>
      </c>
      <c r="J66" s="35" t="s">
        <v>54</v>
      </c>
      <c r="K66" s="34">
        <v>16</v>
      </c>
      <c r="L66" s="34">
        <v>450</v>
      </c>
      <c r="M66" s="34">
        <v>0.1</v>
      </c>
      <c r="N66" s="32" t="s">
        <v>92</v>
      </c>
      <c r="O66" s="32" t="s">
        <v>75</v>
      </c>
      <c r="P66" s="33">
        <v>46116</v>
      </c>
      <c r="Q66" s="34">
        <v>5</v>
      </c>
      <c r="R66" s="32" t="s">
        <v>57</v>
      </c>
      <c r="S66" s="35" t="s">
        <v>121</v>
      </c>
      <c r="T66" s="34">
        <f t="shared" ref="T66:T101" si="6">K66*L66</f>
        <v>7200</v>
      </c>
      <c r="U66" s="34">
        <f t="shared" ref="U66:U97" si="7">T66*M66</f>
        <v>720</v>
      </c>
      <c r="V66" s="34">
        <f t="shared" ref="V66:V97" si="8">T66-U66</f>
        <v>6480</v>
      </c>
    </row>
    <row r="67" spans="1:22" ht="20.100000000000001" customHeight="1" x14ac:dyDescent="0.3">
      <c r="A67" s="31" t="s">
        <v>194</v>
      </c>
      <c r="B67" s="33">
        <v>46045</v>
      </c>
      <c r="C67" s="35" t="s">
        <v>68</v>
      </c>
      <c r="D67" s="32" t="s">
        <v>49</v>
      </c>
      <c r="E67" s="34">
        <v>28</v>
      </c>
      <c r="F67" s="32" t="s">
        <v>69</v>
      </c>
      <c r="G67" s="32" t="s">
        <v>70</v>
      </c>
      <c r="H67" s="35" t="s">
        <v>71</v>
      </c>
      <c r="I67" s="35" t="s">
        <v>112</v>
      </c>
      <c r="J67" s="35" t="s">
        <v>82</v>
      </c>
      <c r="K67" s="34">
        <v>1</v>
      </c>
      <c r="L67" s="34">
        <v>320</v>
      </c>
      <c r="M67" s="34">
        <v>0.25</v>
      </c>
      <c r="N67" s="32" t="s">
        <v>65</v>
      </c>
      <c r="O67" s="32" t="s">
        <v>56</v>
      </c>
      <c r="P67" s="33">
        <v>46048</v>
      </c>
      <c r="Q67" s="34">
        <v>1</v>
      </c>
      <c r="R67" s="32" t="s">
        <v>57</v>
      </c>
      <c r="S67" s="35" t="s">
        <v>104</v>
      </c>
      <c r="T67" s="34">
        <f t="shared" si="6"/>
        <v>320</v>
      </c>
      <c r="U67" s="34">
        <f t="shared" si="7"/>
        <v>80</v>
      </c>
      <c r="V67" s="34">
        <f t="shared" si="8"/>
        <v>240</v>
      </c>
    </row>
    <row r="68" spans="1:22" ht="20.100000000000001" customHeight="1" x14ac:dyDescent="0.3">
      <c r="A68" s="31" t="s">
        <v>195</v>
      </c>
      <c r="B68" s="33">
        <v>46115</v>
      </c>
      <c r="C68" s="35" t="s">
        <v>94</v>
      </c>
      <c r="D68" s="32" t="s">
        <v>49</v>
      </c>
      <c r="E68" s="34">
        <v>61</v>
      </c>
      <c r="F68" s="32" t="s">
        <v>123</v>
      </c>
      <c r="G68" s="32" t="s">
        <v>51</v>
      </c>
      <c r="H68" s="35" t="s">
        <v>52</v>
      </c>
      <c r="I68" s="35" t="s">
        <v>100</v>
      </c>
      <c r="J68" s="35" t="s">
        <v>97</v>
      </c>
      <c r="K68" s="34">
        <v>18</v>
      </c>
      <c r="L68" s="34">
        <v>1200</v>
      </c>
      <c r="M68" s="34">
        <v>0.05</v>
      </c>
      <c r="N68" s="32" t="s">
        <v>74</v>
      </c>
      <c r="O68" s="32" t="s">
        <v>56</v>
      </c>
      <c r="P68" s="33">
        <v>46120</v>
      </c>
      <c r="Q68" s="34">
        <v>4</v>
      </c>
      <c r="R68" s="32" t="s">
        <v>57</v>
      </c>
      <c r="S68" s="35" t="s">
        <v>58</v>
      </c>
      <c r="T68" s="34">
        <f t="shared" si="6"/>
        <v>21600</v>
      </c>
      <c r="U68" s="34">
        <f t="shared" si="7"/>
        <v>1080</v>
      </c>
      <c r="V68" s="34">
        <f t="shared" si="8"/>
        <v>20520</v>
      </c>
    </row>
    <row r="69" spans="1:22" ht="20.100000000000001" customHeight="1" x14ac:dyDescent="0.3">
      <c r="A69" s="31" t="s">
        <v>196</v>
      </c>
      <c r="B69" s="33">
        <v>46184</v>
      </c>
      <c r="C69" s="35" t="s">
        <v>145</v>
      </c>
      <c r="D69" s="32" t="s">
        <v>61</v>
      </c>
      <c r="E69" s="34">
        <v>40</v>
      </c>
      <c r="F69" s="32" t="s">
        <v>115</v>
      </c>
      <c r="G69" s="32" t="s">
        <v>51</v>
      </c>
      <c r="H69" s="35" t="s">
        <v>52</v>
      </c>
      <c r="I69" s="35" t="s">
        <v>91</v>
      </c>
      <c r="J69" s="35" t="s">
        <v>64</v>
      </c>
      <c r="K69" s="34">
        <v>3</v>
      </c>
      <c r="L69" s="34">
        <v>12500</v>
      </c>
      <c r="M69" s="34">
        <v>0.05</v>
      </c>
      <c r="N69" s="32" t="s">
        <v>55</v>
      </c>
      <c r="O69" s="32" t="s">
        <v>56</v>
      </c>
      <c r="P69" s="33">
        <v>46189</v>
      </c>
      <c r="Q69" s="34">
        <v>1</v>
      </c>
      <c r="R69" s="32" t="s">
        <v>57</v>
      </c>
      <c r="S69" s="35" t="s">
        <v>121</v>
      </c>
      <c r="T69" s="34">
        <f t="shared" si="6"/>
        <v>37500</v>
      </c>
      <c r="U69" s="34">
        <f t="shared" si="7"/>
        <v>1875</v>
      </c>
      <c r="V69" s="34">
        <f t="shared" si="8"/>
        <v>35625</v>
      </c>
    </row>
    <row r="70" spans="1:22" ht="20.100000000000001" customHeight="1" x14ac:dyDescent="0.3">
      <c r="A70" s="31" t="s">
        <v>197</v>
      </c>
      <c r="B70" s="33">
        <v>46261</v>
      </c>
      <c r="C70" s="35" t="s">
        <v>84</v>
      </c>
      <c r="D70" s="32" t="s">
        <v>49</v>
      </c>
      <c r="E70" s="34">
        <v>47</v>
      </c>
      <c r="F70" s="32" t="s">
        <v>123</v>
      </c>
      <c r="G70" s="32" t="s">
        <v>51</v>
      </c>
      <c r="H70" s="35" t="s">
        <v>71</v>
      </c>
      <c r="I70" s="35" t="s">
        <v>160</v>
      </c>
      <c r="J70" s="35" t="s">
        <v>64</v>
      </c>
      <c r="K70" s="34">
        <v>18</v>
      </c>
      <c r="L70" s="34">
        <v>45</v>
      </c>
      <c r="M70" s="34">
        <v>0.05</v>
      </c>
      <c r="N70" s="32" t="s">
        <v>92</v>
      </c>
      <c r="O70" s="32" t="s">
        <v>56</v>
      </c>
      <c r="P70" s="33">
        <v>46267</v>
      </c>
      <c r="Q70" s="34">
        <v>5</v>
      </c>
      <c r="R70" s="32" t="s">
        <v>57</v>
      </c>
      <c r="S70" s="35" t="s">
        <v>77</v>
      </c>
      <c r="T70" s="34">
        <f t="shared" si="6"/>
        <v>810</v>
      </c>
      <c r="U70" s="34">
        <f t="shared" si="7"/>
        <v>40.5</v>
      </c>
      <c r="V70" s="34">
        <f t="shared" si="8"/>
        <v>769.5</v>
      </c>
    </row>
    <row r="71" spans="1:22" ht="20.100000000000001" customHeight="1" x14ac:dyDescent="0.3">
      <c r="A71" s="31" t="s">
        <v>198</v>
      </c>
      <c r="B71" s="33">
        <v>46040</v>
      </c>
      <c r="C71" s="35" t="s">
        <v>94</v>
      </c>
      <c r="D71" s="32" t="s">
        <v>49</v>
      </c>
      <c r="E71" s="34">
        <v>42</v>
      </c>
      <c r="F71" s="32" t="s">
        <v>69</v>
      </c>
      <c r="G71" s="32" t="s">
        <v>70</v>
      </c>
      <c r="H71" s="35" t="s">
        <v>62</v>
      </c>
      <c r="I71" s="35" t="s">
        <v>81</v>
      </c>
      <c r="J71" s="35" t="s">
        <v>82</v>
      </c>
      <c r="K71" s="34">
        <v>1</v>
      </c>
      <c r="L71" s="34">
        <v>750</v>
      </c>
      <c r="M71" s="34">
        <v>0.1</v>
      </c>
      <c r="N71" s="32" t="s">
        <v>74</v>
      </c>
      <c r="O71" s="32" t="s">
        <v>75</v>
      </c>
      <c r="P71" s="33">
        <v>46043</v>
      </c>
      <c r="Q71" s="34">
        <v>5</v>
      </c>
      <c r="R71" s="32" t="s">
        <v>76</v>
      </c>
      <c r="S71" s="35" t="s">
        <v>77</v>
      </c>
      <c r="T71" s="34">
        <f t="shared" si="6"/>
        <v>750</v>
      </c>
      <c r="U71" s="34">
        <f t="shared" si="7"/>
        <v>75</v>
      </c>
      <c r="V71" s="34">
        <f t="shared" si="8"/>
        <v>675</v>
      </c>
    </row>
    <row r="72" spans="1:22" ht="20.100000000000001" customHeight="1" x14ac:dyDescent="0.3">
      <c r="A72" s="31" t="s">
        <v>199</v>
      </c>
      <c r="B72" s="33">
        <v>46061</v>
      </c>
      <c r="C72" s="35" t="s">
        <v>179</v>
      </c>
      <c r="D72" s="32" t="s">
        <v>49</v>
      </c>
      <c r="E72" s="34">
        <v>43</v>
      </c>
      <c r="F72" s="32" t="s">
        <v>200</v>
      </c>
      <c r="G72" s="32" t="s">
        <v>51</v>
      </c>
      <c r="H72" s="35" t="s">
        <v>62</v>
      </c>
      <c r="I72" s="35" t="s">
        <v>63</v>
      </c>
      <c r="J72" s="35" t="s">
        <v>64</v>
      </c>
      <c r="K72" s="34">
        <v>15</v>
      </c>
      <c r="L72" s="34">
        <v>250</v>
      </c>
      <c r="M72" s="34">
        <v>0.1</v>
      </c>
      <c r="N72" s="32" t="s">
        <v>86</v>
      </c>
      <c r="O72" s="32" t="s">
        <v>125</v>
      </c>
      <c r="P72" s="33">
        <v>46065</v>
      </c>
      <c r="Q72" s="34">
        <v>2</v>
      </c>
      <c r="R72" s="32" t="s">
        <v>76</v>
      </c>
      <c r="S72" s="35" t="s">
        <v>129</v>
      </c>
      <c r="T72" s="34">
        <f t="shared" si="6"/>
        <v>3750</v>
      </c>
      <c r="U72" s="34">
        <f t="shared" si="7"/>
        <v>375</v>
      </c>
      <c r="V72" s="34">
        <f t="shared" si="8"/>
        <v>3375</v>
      </c>
    </row>
    <row r="73" spans="1:22" ht="20.100000000000001" customHeight="1" x14ac:dyDescent="0.3">
      <c r="A73" s="31" t="s">
        <v>201</v>
      </c>
      <c r="B73" s="33">
        <v>46242</v>
      </c>
      <c r="C73" s="35" t="s">
        <v>167</v>
      </c>
      <c r="D73" s="32" t="s">
        <v>61</v>
      </c>
      <c r="E73" s="34">
        <v>41</v>
      </c>
      <c r="F73" s="32" t="s">
        <v>131</v>
      </c>
      <c r="G73" s="32" t="s">
        <v>132</v>
      </c>
      <c r="H73" s="35" t="s">
        <v>71</v>
      </c>
      <c r="I73" s="35" t="s">
        <v>96</v>
      </c>
      <c r="J73" s="35" t="s">
        <v>64</v>
      </c>
      <c r="K73" s="34">
        <v>22</v>
      </c>
      <c r="L73" s="34">
        <v>450</v>
      </c>
      <c r="M73" s="34">
        <v>0.25</v>
      </c>
      <c r="N73" s="32" t="s">
        <v>86</v>
      </c>
      <c r="O73" s="32" t="s">
        <v>56</v>
      </c>
      <c r="P73" s="33">
        <v>46249</v>
      </c>
      <c r="Q73" s="34">
        <v>1</v>
      </c>
      <c r="R73" s="32" t="s">
        <v>57</v>
      </c>
      <c r="S73" s="35" t="s">
        <v>104</v>
      </c>
      <c r="T73" s="34">
        <f t="shared" si="6"/>
        <v>9900</v>
      </c>
      <c r="U73" s="34">
        <f t="shared" si="7"/>
        <v>2475</v>
      </c>
      <c r="V73" s="34">
        <f t="shared" si="8"/>
        <v>7425</v>
      </c>
    </row>
    <row r="74" spans="1:22" ht="20.100000000000001" customHeight="1" x14ac:dyDescent="0.3">
      <c r="A74" s="31" t="s">
        <v>202</v>
      </c>
      <c r="B74" s="33">
        <v>46174</v>
      </c>
      <c r="C74" s="35" t="s">
        <v>155</v>
      </c>
      <c r="D74" s="32" t="s">
        <v>49</v>
      </c>
      <c r="E74" s="34">
        <v>27</v>
      </c>
      <c r="F74" s="32" t="s">
        <v>115</v>
      </c>
      <c r="G74" s="32" t="s">
        <v>51</v>
      </c>
      <c r="H74" s="35" t="s">
        <v>71</v>
      </c>
      <c r="I74" s="35" t="s">
        <v>72</v>
      </c>
      <c r="J74" s="35" t="s">
        <v>54</v>
      </c>
      <c r="K74" s="34">
        <v>5</v>
      </c>
      <c r="L74" s="34">
        <v>150</v>
      </c>
      <c r="M74" s="34">
        <v>0.15</v>
      </c>
      <c r="N74" s="32" t="s">
        <v>86</v>
      </c>
      <c r="O74" s="32" t="s">
        <v>56</v>
      </c>
      <c r="P74" s="33">
        <v>46177</v>
      </c>
      <c r="Q74" s="34">
        <v>3</v>
      </c>
      <c r="R74" s="32" t="s">
        <v>76</v>
      </c>
      <c r="S74" s="35" t="s">
        <v>104</v>
      </c>
      <c r="T74" s="34">
        <f t="shared" si="6"/>
        <v>750</v>
      </c>
      <c r="U74" s="34">
        <f t="shared" si="7"/>
        <v>112.5</v>
      </c>
      <c r="V74" s="34">
        <f t="shared" si="8"/>
        <v>637.5</v>
      </c>
    </row>
    <row r="75" spans="1:22" ht="20.100000000000001" customHeight="1" x14ac:dyDescent="0.3">
      <c r="A75" s="31" t="s">
        <v>203</v>
      </c>
      <c r="B75" s="33">
        <v>46200</v>
      </c>
      <c r="C75" s="35" t="s">
        <v>88</v>
      </c>
      <c r="D75" s="32" t="s">
        <v>61</v>
      </c>
      <c r="E75" s="34">
        <v>42</v>
      </c>
      <c r="F75" s="32" t="s">
        <v>89</v>
      </c>
      <c r="G75" s="32" t="s">
        <v>90</v>
      </c>
      <c r="H75" s="35" t="s">
        <v>62</v>
      </c>
      <c r="I75" s="35" t="s">
        <v>146</v>
      </c>
      <c r="J75" s="35" t="s">
        <v>97</v>
      </c>
      <c r="K75" s="34">
        <v>21</v>
      </c>
      <c r="L75" s="34">
        <v>1800</v>
      </c>
      <c r="M75" s="34">
        <v>0.25</v>
      </c>
      <c r="N75" s="32" t="s">
        <v>92</v>
      </c>
      <c r="O75" s="32" t="s">
        <v>75</v>
      </c>
      <c r="P75" s="33">
        <v>46204</v>
      </c>
      <c r="Q75" s="34">
        <v>1</v>
      </c>
      <c r="R75" s="32" t="s">
        <v>57</v>
      </c>
      <c r="S75" s="35" t="s">
        <v>129</v>
      </c>
      <c r="T75" s="34">
        <f t="shared" si="6"/>
        <v>37800</v>
      </c>
      <c r="U75" s="34">
        <f t="shared" si="7"/>
        <v>9450</v>
      </c>
      <c r="V75" s="34">
        <f t="shared" si="8"/>
        <v>28350</v>
      </c>
    </row>
    <row r="76" spans="1:22" ht="20.100000000000001" customHeight="1" x14ac:dyDescent="0.3">
      <c r="A76" s="31" t="s">
        <v>204</v>
      </c>
      <c r="B76" s="33">
        <v>46184</v>
      </c>
      <c r="C76" s="35" t="s">
        <v>205</v>
      </c>
      <c r="D76" s="32" t="s">
        <v>61</v>
      </c>
      <c r="E76" s="34">
        <v>26</v>
      </c>
      <c r="F76" s="32" t="s">
        <v>120</v>
      </c>
      <c r="G76" s="32" t="s">
        <v>51</v>
      </c>
      <c r="H76" s="35" t="s">
        <v>52</v>
      </c>
      <c r="I76" s="35" t="s">
        <v>53</v>
      </c>
      <c r="J76" s="35" t="s">
        <v>64</v>
      </c>
      <c r="K76" s="34">
        <v>6</v>
      </c>
      <c r="L76" s="34">
        <v>55000</v>
      </c>
      <c r="M76" s="34">
        <v>0.25</v>
      </c>
      <c r="N76" s="32" t="s">
        <v>74</v>
      </c>
      <c r="O76" s="32" t="s">
        <v>125</v>
      </c>
      <c r="P76" s="33">
        <v>46190</v>
      </c>
      <c r="Q76" s="34">
        <v>1</v>
      </c>
      <c r="R76" s="32" t="s">
        <v>76</v>
      </c>
      <c r="S76" s="35" t="s">
        <v>77</v>
      </c>
      <c r="T76" s="34">
        <f t="shared" si="6"/>
        <v>330000</v>
      </c>
      <c r="U76" s="34">
        <f t="shared" si="7"/>
        <v>82500</v>
      </c>
      <c r="V76" s="34">
        <f t="shared" si="8"/>
        <v>247500</v>
      </c>
    </row>
    <row r="77" spans="1:22" ht="20.100000000000001" customHeight="1" x14ac:dyDescent="0.3">
      <c r="A77" s="31" t="s">
        <v>206</v>
      </c>
      <c r="B77" s="33">
        <v>46037</v>
      </c>
      <c r="C77" s="35" t="s">
        <v>207</v>
      </c>
      <c r="D77" s="32" t="s">
        <v>49</v>
      </c>
      <c r="E77" s="34">
        <v>48</v>
      </c>
      <c r="F77" s="32" t="s">
        <v>128</v>
      </c>
      <c r="G77" s="32" t="s">
        <v>51</v>
      </c>
      <c r="H77" s="35" t="s">
        <v>52</v>
      </c>
      <c r="I77" s="35" t="s">
        <v>91</v>
      </c>
      <c r="J77" s="35" t="s">
        <v>64</v>
      </c>
      <c r="K77" s="34">
        <v>19</v>
      </c>
      <c r="L77" s="34">
        <v>12500</v>
      </c>
      <c r="M77" s="34">
        <v>0.25</v>
      </c>
      <c r="N77" s="32" t="s">
        <v>86</v>
      </c>
      <c r="O77" s="32" t="s">
        <v>56</v>
      </c>
      <c r="P77" s="33">
        <v>46040</v>
      </c>
      <c r="Q77" s="34">
        <v>1</v>
      </c>
      <c r="R77" s="32" t="s">
        <v>76</v>
      </c>
      <c r="S77" s="35" t="s">
        <v>104</v>
      </c>
      <c r="T77" s="34">
        <f t="shared" si="6"/>
        <v>237500</v>
      </c>
      <c r="U77" s="34">
        <f t="shared" si="7"/>
        <v>59375</v>
      </c>
      <c r="V77" s="34">
        <f t="shared" si="8"/>
        <v>178125</v>
      </c>
    </row>
    <row r="78" spans="1:22" ht="20.100000000000001" customHeight="1" x14ac:dyDescent="0.3">
      <c r="A78" s="31" t="s">
        <v>208</v>
      </c>
      <c r="B78" s="33">
        <v>46197</v>
      </c>
      <c r="C78" s="35" t="s">
        <v>183</v>
      </c>
      <c r="D78" s="32" t="s">
        <v>61</v>
      </c>
      <c r="E78" s="34">
        <v>35</v>
      </c>
      <c r="F78" s="32" t="s">
        <v>123</v>
      </c>
      <c r="G78" s="32" t="s">
        <v>51</v>
      </c>
      <c r="H78" s="35" t="s">
        <v>62</v>
      </c>
      <c r="I78" s="35" t="s">
        <v>81</v>
      </c>
      <c r="J78" s="35" t="s">
        <v>64</v>
      </c>
      <c r="K78" s="34">
        <v>9</v>
      </c>
      <c r="L78" s="34">
        <v>750</v>
      </c>
      <c r="M78" s="34">
        <v>0.25</v>
      </c>
      <c r="N78" s="32" t="s">
        <v>55</v>
      </c>
      <c r="O78" s="32" t="s">
        <v>75</v>
      </c>
      <c r="P78" s="33">
        <v>46199</v>
      </c>
      <c r="Q78" s="34">
        <v>4</v>
      </c>
      <c r="R78" s="32" t="s">
        <v>76</v>
      </c>
      <c r="S78" s="35" t="s">
        <v>66</v>
      </c>
      <c r="T78" s="34">
        <f t="shared" si="6"/>
        <v>6750</v>
      </c>
      <c r="U78" s="34">
        <f t="shared" si="7"/>
        <v>1687.5</v>
      </c>
      <c r="V78" s="34">
        <f t="shared" si="8"/>
        <v>5062.5</v>
      </c>
    </row>
    <row r="79" spans="1:22" ht="20.100000000000001" customHeight="1" x14ac:dyDescent="0.3">
      <c r="A79" s="31" t="s">
        <v>209</v>
      </c>
      <c r="B79" s="33">
        <v>46162</v>
      </c>
      <c r="C79" s="35" t="s">
        <v>111</v>
      </c>
      <c r="D79" s="32" t="s">
        <v>49</v>
      </c>
      <c r="E79" s="34">
        <v>43</v>
      </c>
      <c r="F79" s="32" t="s">
        <v>138</v>
      </c>
      <c r="G79" s="32" t="s">
        <v>138</v>
      </c>
      <c r="H79" s="35" t="s">
        <v>71</v>
      </c>
      <c r="I79" s="35" t="s">
        <v>96</v>
      </c>
      <c r="J79" s="35" t="s">
        <v>54</v>
      </c>
      <c r="K79" s="34">
        <v>9</v>
      </c>
      <c r="L79" s="34">
        <v>450</v>
      </c>
      <c r="M79" s="34">
        <v>0.15</v>
      </c>
      <c r="N79" s="32" t="s">
        <v>74</v>
      </c>
      <c r="O79" s="32" t="s">
        <v>56</v>
      </c>
      <c r="P79" s="33">
        <v>46164</v>
      </c>
      <c r="Q79" s="34">
        <v>4</v>
      </c>
      <c r="R79" s="32" t="s">
        <v>76</v>
      </c>
      <c r="S79" s="35" t="s">
        <v>58</v>
      </c>
      <c r="T79" s="34">
        <f t="shared" si="6"/>
        <v>4050</v>
      </c>
      <c r="U79" s="34">
        <f t="shared" si="7"/>
        <v>607.5</v>
      </c>
      <c r="V79" s="34">
        <f t="shared" si="8"/>
        <v>3442.5</v>
      </c>
    </row>
    <row r="80" spans="1:22" ht="20.100000000000001" customHeight="1" x14ac:dyDescent="0.3">
      <c r="A80" s="31" t="s">
        <v>210</v>
      </c>
      <c r="B80" s="33">
        <v>46083</v>
      </c>
      <c r="C80" s="35" t="s">
        <v>118</v>
      </c>
      <c r="D80" s="32" t="s">
        <v>49</v>
      </c>
      <c r="E80" s="34">
        <v>57</v>
      </c>
      <c r="F80" s="32" t="s">
        <v>99</v>
      </c>
      <c r="G80" s="32" t="s">
        <v>51</v>
      </c>
      <c r="H80" s="35" t="s">
        <v>62</v>
      </c>
      <c r="I80" s="35" t="s">
        <v>81</v>
      </c>
      <c r="J80" s="35" t="s">
        <v>73</v>
      </c>
      <c r="K80" s="34">
        <v>22</v>
      </c>
      <c r="L80" s="34">
        <v>750</v>
      </c>
      <c r="M80" s="34">
        <v>0.15</v>
      </c>
      <c r="N80" s="32" t="s">
        <v>74</v>
      </c>
      <c r="O80" s="32" t="s">
        <v>56</v>
      </c>
      <c r="P80" s="33">
        <v>46087</v>
      </c>
      <c r="Q80" s="34">
        <v>1</v>
      </c>
      <c r="R80" s="32" t="s">
        <v>76</v>
      </c>
      <c r="S80" s="35" t="s">
        <v>77</v>
      </c>
      <c r="T80" s="34">
        <f t="shared" si="6"/>
        <v>16500</v>
      </c>
      <c r="U80" s="34">
        <f t="shared" si="7"/>
        <v>2475</v>
      </c>
      <c r="V80" s="34">
        <f t="shared" si="8"/>
        <v>14025</v>
      </c>
    </row>
    <row r="81" spans="1:22" ht="20.100000000000001" customHeight="1" x14ac:dyDescent="0.3">
      <c r="A81" s="31" t="s">
        <v>211</v>
      </c>
      <c r="B81" s="33">
        <v>46254</v>
      </c>
      <c r="C81" s="35" t="s">
        <v>94</v>
      </c>
      <c r="D81" s="32" t="s">
        <v>61</v>
      </c>
      <c r="E81" s="34">
        <v>59</v>
      </c>
      <c r="F81" s="32" t="s">
        <v>69</v>
      </c>
      <c r="G81" s="32" t="s">
        <v>70</v>
      </c>
      <c r="H81" s="35" t="s">
        <v>71</v>
      </c>
      <c r="I81" s="35" t="s">
        <v>160</v>
      </c>
      <c r="J81" s="35" t="s">
        <v>54</v>
      </c>
      <c r="K81" s="34">
        <v>7</v>
      </c>
      <c r="L81" s="34">
        <v>45</v>
      </c>
      <c r="M81" s="34">
        <v>0.2</v>
      </c>
      <c r="N81" s="32" t="s">
        <v>74</v>
      </c>
      <c r="O81" s="32" t="s">
        <v>56</v>
      </c>
      <c r="P81" s="33">
        <v>46257</v>
      </c>
      <c r="Q81" s="34">
        <v>2</v>
      </c>
      <c r="R81" s="32" t="s">
        <v>57</v>
      </c>
      <c r="S81" s="35" t="s">
        <v>66</v>
      </c>
      <c r="T81" s="34">
        <f t="shared" si="6"/>
        <v>315</v>
      </c>
      <c r="U81" s="34">
        <f t="shared" si="7"/>
        <v>63</v>
      </c>
      <c r="V81" s="34">
        <f t="shared" si="8"/>
        <v>252</v>
      </c>
    </row>
    <row r="82" spans="1:22" ht="20.100000000000001" customHeight="1" x14ac:dyDescent="0.3">
      <c r="A82" s="31" t="s">
        <v>212</v>
      </c>
      <c r="B82" s="33">
        <v>46188</v>
      </c>
      <c r="C82" s="35" t="s">
        <v>84</v>
      </c>
      <c r="D82" s="32" t="s">
        <v>49</v>
      </c>
      <c r="E82" s="34">
        <v>23</v>
      </c>
      <c r="F82" s="32" t="s">
        <v>138</v>
      </c>
      <c r="G82" s="32" t="s">
        <v>138</v>
      </c>
      <c r="H82" s="35" t="s">
        <v>71</v>
      </c>
      <c r="I82" s="35" t="s">
        <v>160</v>
      </c>
      <c r="J82" s="35" t="s">
        <v>73</v>
      </c>
      <c r="K82" s="34">
        <v>10</v>
      </c>
      <c r="L82" s="34">
        <v>45</v>
      </c>
      <c r="M82" s="34">
        <v>0.1</v>
      </c>
      <c r="N82" s="32" t="s">
        <v>92</v>
      </c>
      <c r="O82" s="32" t="s">
        <v>56</v>
      </c>
      <c r="P82" s="33">
        <v>46189</v>
      </c>
      <c r="Q82" s="34">
        <v>2</v>
      </c>
      <c r="R82" s="32" t="s">
        <v>76</v>
      </c>
      <c r="S82" s="35" t="s">
        <v>104</v>
      </c>
      <c r="T82" s="34">
        <f t="shared" si="6"/>
        <v>450</v>
      </c>
      <c r="U82" s="34">
        <f t="shared" si="7"/>
        <v>45</v>
      </c>
      <c r="V82" s="34">
        <f t="shared" si="8"/>
        <v>405</v>
      </c>
    </row>
    <row r="83" spans="1:22" ht="20.100000000000001" customHeight="1" x14ac:dyDescent="0.3">
      <c r="A83" s="31" t="s">
        <v>213</v>
      </c>
      <c r="B83" s="33">
        <v>46151</v>
      </c>
      <c r="C83" s="35" t="s">
        <v>134</v>
      </c>
      <c r="D83" s="32" t="s">
        <v>49</v>
      </c>
      <c r="E83" s="34">
        <v>51</v>
      </c>
      <c r="F83" s="32" t="s">
        <v>69</v>
      </c>
      <c r="G83" s="32" t="s">
        <v>70</v>
      </c>
      <c r="H83" s="35" t="s">
        <v>71</v>
      </c>
      <c r="I83" s="35" t="s">
        <v>85</v>
      </c>
      <c r="J83" s="35" t="s">
        <v>82</v>
      </c>
      <c r="K83" s="34">
        <v>4</v>
      </c>
      <c r="L83" s="34">
        <v>85</v>
      </c>
      <c r="M83" s="34">
        <v>0.15</v>
      </c>
      <c r="N83" s="32" t="s">
        <v>55</v>
      </c>
      <c r="O83" s="32" t="s">
        <v>56</v>
      </c>
      <c r="P83" s="33">
        <v>46154</v>
      </c>
      <c r="Q83" s="34">
        <v>2</v>
      </c>
      <c r="R83" s="32" t="s">
        <v>76</v>
      </c>
      <c r="S83" s="35" t="s">
        <v>77</v>
      </c>
      <c r="T83" s="34">
        <f t="shared" si="6"/>
        <v>340</v>
      </c>
      <c r="U83" s="34">
        <f t="shared" si="7"/>
        <v>51</v>
      </c>
      <c r="V83" s="34">
        <f t="shared" si="8"/>
        <v>289</v>
      </c>
    </row>
    <row r="84" spans="1:22" ht="20.100000000000001" customHeight="1" x14ac:dyDescent="0.3">
      <c r="A84" s="31" t="s">
        <v>214</v>
      </c>
      <c r="B84" s="33">
        <v>46228</v>
      </c>
      <c r="C84" s="35" t="s">
        <v>207</v>
      </c>
      <c r="D84" s="32" t="s">
        <v>61</v>
      </c>
      <c r="E84" s="34">
        <v>46</v>
      </c>
      <c r="F84" s="32" t="s">
        <v>95</v>
      </c>
      <c r="G84" s="32" t="s">
        <v>51</v>
      </c>
      <c r="H84" s="35" t="s">
        <v>71</v>
      </c>
      <c r="I84" s="35" t="s">
        <v>112</v>
      </c>
      <c r="J84" s="35" t="s">
        <v>73</v>
      </c>
      <c r="K84" s="34">
        <v>15</v>
      </c>
      <c r="L84" s="34">
        <v>320</v>
      </c>
      <c r="M84" s="34">
        <v>0.1</v>
      </c>
      <c r="N84" s="32" t="s">
        <v>74</v>
      </c>
      <c r="O84" s="32" t="s">
        <v>56</v>
      </c>
      <c r="P84" s="33">
        <v>46233</v>
      </c>
      <c r="Q84" s="34">
        <v>3</v>
      </c>
      <c r="R84" s="32" t="s">
        <v>57</v>
      </c>
      <c r="S84" s="35" t="s">
        <v>66</v>
      </c>
      <c r="T84" s="34">
        <f t="shared" si="6"/>
        <v>4800</v>
      </c>
      <c r="U84" s="34">
        <f t="shared" si="7"/>
        <v>480</v>
      </c>
      <c r="V84" s="34">
        <f t="shared" si="8"/>
        <v>4320</v>
      </c>
    </row>
    <row r="85" spans="1:22" ht="20.100000000000001" customHeight="1" x14ac:dyDescent="0.3">
      <c r="A85" s="31" t="s">
        <v>215</v>
      </c>
      <c r="B85" s="33">
        <v>46082</v>
      </c>
      <c r="C85" s="35" t="s">
        <v>48</v>
      </c>
      <c r="D85" s="32" t="s">
        <v>49</v>
      </c>
      <c r="E85" s="34">
        <v>60</v>
      </c>
      <c r="F85" s="32" t="s">
        <v>50</v>
      </c>
      <c r="G85" s="32" t="s">
        <v>51</v>
      </c>
      <c r="H85" s="35" t="s">
        <v>62</v>
      </c>
      <c r="I85" s="35" t="s">
        <v>124</v>
      </c>
      <c r="J85" s="35" t="s">
        <v>54</v>
      </c>
      <c r="K85" s="34">
        <v>15</v>
      </c>
      <c r="L85" s="34">
        <v>2200</v>
      </c>
      <c r="M85" s="34">
        <v>0.25</v>
      </c>
      <c r="N85" s="32" t="s">
        <v>74</v>
      </c>
      <c r="O85" s="32" t="s">
        <v>56</v>
      </c>
      <c r="P85" s="33">
        <v>46086</v>
      </c>
      <c r="Q85" s="34">
        <v>1</v>
      </c>
      <c r="R85" s="32" t="s">
        <v>57</v>
      </c>
      <c r="S85" s="35" t="s">
        <v>58</v>
      </c>
      <c r="T85" s="34">
        <f t="shared" si="6"/>
        <v>33000</v>
      </c>
      <c r="U85" s="34">
        <f t="shared" si="7"/>
        <v>8250</v>
      </c>
      <c r="V85" s="34">
        <f t="shared" si="8"/>
        <v>24750</v>
      </c>
    </row>
    <row r="86" spans="1:22" ht="20.100000000000001" customHeight="1" x14ac:dyDescent="0.3">
      <c r="A86" s="31" t="s">
        <v>216</v>
      </c>
      <c r="B86" s="33">
        <v>46032</v>
      </c>
      <c r="C86" s="35" t="s">
        <v>183</v>
      </c>
      <c r="D86" s="32" t="s">
        <v>61</v>
      </c>
      <c r="E86" s="34">
        <v>27</v>
      </c>
      <c r="F86" s="32" t="s">
        <v>50</v>
      </c>
      <c r="G86" s="32" t="s">
        <v>51</v>
      </c>
      <c r="H86" s="35" t="s">
        <v>62</v>
      </c>
      <c r="I86" s="35" t="s">
        <v>135</v>
      </c>
      <c r="J86" s="35" t="s">
        <v>64</v>
      </c>
      <c r="K86" s="34">
        <v>15</v>
      </c>
      <c r="L86" s="34">
        <v>3500</v>
      </c>
      <c r="M86" s="34">
        <v>0.1</v>
      </c>
      <c r="N86" s="32" t="s">
        <v>65</v>
      </c>
      <c r="O86" s="32" t="s">
        <v>56</v>
      </c>
      <c r="P86" s="33">
        <v>46035</v>
      </c>
      <c r="Q86" s="34">
        <v>2</v>
      </c>
      <c r="R86" s="32" t="s">
        <v>76</v>
      </c>
      <c r="S86" s="35" t="s">
        <v>66</v>
      </c>
      <c r="T86" s="34">
        <f t="shared" si="6"/>
        <v>52500</v>
      </c>
      <c r="U86" s="34">
        <f t="shared" si="7"/>
        <v>5250</v>
      </c>
      <c r="V86" s="34">
        <f t="shared" si="8"/>
        <v>47250</v>
      </c>
    </row>
    <row r="87" spans="1:22" ht="20.100000000000001" customHeight="1" x14ac:dyDescent="0.3">
      <c r="A87" s="31" t="s">
        <v>217</v>
      </c>
      <c r="B87" s="33">
        <v>46048</v>
      </c>
      <c r="C87" s="35" t="s">
        <v>183</v>
      </c>
      <c r="D87" s="32" t="s">
        <v>49</v>
      </c>
      <c r="E87" s="34">
        <v>38</v>
      </c>
      <c r="F87" s="32" t="s">
        <v>95</v>
      </c>
      <c r="G87" s="32" t="s">
        <v>51</v>
      </c>
      <c r="H87" s="35" t="s">
        <v>62</v>
      </c>
      <c r="I87" s="35" t="s">
        <v>81</v>
      </c>
      <c r="J87" s="35" t="s">
        <v>103</v>
      </c>
      <c r="K87" s="34">
        <v>15</v>
      </c>
      <c r="L87" s="34">
        <v>750</v>
      </c>
      <c r="M87" s="34">
        <v>0.15</v>
      </c>
      <c r="N87" s="32" t="s">
        <v>86</v>
      </c>
      <c r="O87" s="32" t="s">
        <v>75</v>
      </c>
      <c r="P87" s="33">
        <v>46055</v>
      </c>
      <c r="Q87" s="34">
        <v>1</v>
      </c>
      <c r="R87" s="32" t="s">
        <v>76</v>
      </c>
      <c r="S87" s="35" t="s">
        <v>104</v>
      </c>
      <c r="T87" s="34">
        <f t="shared" si="6"/>
        <v>11250</v>
      </c>
      <c r="U87" s="34">
        <f t="shared" si="7"/>
        <v>1687.5</v>
      </c>
      <c r="V87" s="34">
        <f t="shared" si="8"/>
        <v>9562.5</v>
      </c>
    </row>
    <row r="88" spans="1:22" ht="20.100000000000001" customHeight="1" x14ac:dyDescent="0.3">
      <c r="A88" s="31" t="s">
        <v>218</v>
      </c>
      <c r="B88" s="33">
        <v>46253</v>
      </c>
      <c r="C88" s="35" t="s">
        <v>207</v>
      </c>
      <c r="D88" s="32" t="s">
        <v>61</v>
      </c>
      <c r="E88" s="34">
        <v>46</v>
      </c>
      <c r="F88" s="32" t="s">
        <v>99</v>
      </c>
      <c r="G88" s="32" t="s">
        <v>51</v>
      </c>
      <c r="H88" s="35" t="s">
        <v>52</v>
      </c>
      <c r="I88" s="35" t="s">
        <v>53</v>
      </c>
      <c r="J88" s="35" t="s">
        <v>82</v>
      </c>
      <c r="K88" s="34">
        <v>15</v>
      </c>
      <c r="L88" s="34">
        <v>55000</v>
      </c>
      <c r="M88" s="34">
        <v>0</v>
      </c>
      <c r="N88" s="32" t="s">
        <v>86</v>
      </c>
      <c r="O88" s="32" t="s">
        <v>56</v>
      </c>
      <c r="P88" s="33">
        <v>46259</v>
      </c>
      <c r="Q88" s="34">
        <v>5</v>
      </c>
      <c r="R88" s="32" t="s">
        <v>57</v>
      </c>
      <c r="S88" s="35" t="s">
        <v>58</v>
      </c>
      <c r="T88" s="34">
        <f t="shared" si="6"/>
        <v>825000</v>
      </c>
      <c r="U88" s="34">
        <f t="shared" si="7"/>
        <v>0</v>
      </c>
      <c r="V88" s="34">
        <f t="shared" si="8"/>
        <v>825000</v>
      </c>
    </row>
    <row r="89" spans="1:22" ht="20.100000000000001" customHeight="1" x14ac:dyDescent="0.3">
      <c r="A89" s="31" t="s">
        <v>219</v>
      </c>
      <c r="B89" s="33">
        <v>46224</v>
      </c>
      <c r="C89" s="35" t="s">
        <v>145</v>
      </c>
      <c r="D89" s="32" t="s">
        <v>61</v>
      </c>
      <c r="E89" s="34">
        <v>57</v>
      </c>
      <c r="F89" s="32" t="s">
        <v>50</v>
      </c>
      <c r="G89" s="32" t="s">
        <v>51</v>
      </c>
      <c r="H89" s="35" t="s">
        <v>52</v>
      </c>
      <c r="I89" s="35" t="s">
        <v>91</v>
      </c>
      <c r="J89" s="35" t="s">
        <v>103</v>
      </c>
      <c r="K89" s="34">
        <v>19</v>
      </c>
      <c r="L89" s="34">
        <v>12500</v>
      </c>
      <c r="M89" s="34">
        <v>0.05</v>
      </c>
      <c r="N89" s="32" t="s">
        <v>86</v>
      </c>
      <c r="O89" s="32" t="s">
        <v>56</v>
      </c>
      <c r="P89" s="33">
        <v>46227</v>
      </c>
      <c r="Q89" s="34">
        <v>2</v>
      </c>
      <c r="R89" s="32" t="s">
        <v>57</v>
      </c>
      <c r="S89" s="35" t="s">
        <v>101</v>
      </c>
      <c r="T89" s="34">
        <f t="shared" si="6"/>
        <v>237500</v>
      </c>
      <c r="U89" s="34">
        <f t="shared" si="7"/>
        <v>11875</v>
      </c>
      <c r="V89" s="34">
        <f t="shared" si="8"/>
        <v>225625</v>
      </c>
    </row>
    <row r="90" spans="1:22" ht="20.100000000000001" customHeight="1" x14ac:dyDescent="0.3">
      <c r="A90" s="31" t="s">
        <v>220</v>
      </c>
      <c r="B90" s="33">
        <v>46242</v>
      </c>
      <c r="C90" s="35" t="s">
        <v>185</v>
      </c>
      <c r="D90" s="32" t="s">
        <v>49</v>
      </c>
      <c r="E90" s="34">
        <v>32</v>
      </c>
      <c r="F90" s="32" t="s">
        <v>80</v>
      </c>
      <c r="G90" s="32" t="s">
        <v>51</v>
      </c>
      <c r="H90" s="35" t="s">
        <v>62</v>
      </c>
      <c r="I90" s="35" t="s">
        <v>124</v>
      </c>
      <c r="J90" s="35" t="s">
        <v>103</v>
      </c>
      <c r="K90" s="34">
        <v>1</v>
      </c>
      <c r="L90" s="34">
        <v>2200</v>
      </c>
      <c r="M90" s="34">
        <v>0.1</v>
      </c>
      <c r="N90" s="32" t="s">
        <v>86</v>
      </c>
      <c r="O90" s="32" t="s">
        <v>56</v>
      </c>
      <c r="P90" s="33">
        <v>46244</v>
      </c>
      <c r="Q90" s="34">
        <v>1</v>
      </c>
      <c r="R90" s="32" t="s">
        <v>57</v>
      </c>
      <c r="S90" s="35" t="s">
        <v>101</v>
      </c>
      <c r="T90" s="34">
        <f t="shared" si="6"/>
        <v>2200</v>
      </c>
      <c r="U90" s="34">
        <f t="shared" si="7"/>
        <v>220</v>
      </c>
      <c r="V90" s="34">
        <f t="shared" si="8"/>
        <v>1980</v>
      </c>
    </row>
    <row r="91" spans="1:22" ht="20.100000000000001" customHeight="1" x14ac:dyDescent="0.3">
      <c r="A91" s="31" t="s">
        <v>221</v>
      </c>
      <c r="B91" s="33">
        <v>46036</v>
      </c>
      <c r="C91" s="35" t="s">
        <v>222</v>
      </c>
      <c r="D91" s="32" t="s">
        <v>49</v>
      </c>
      <c r="E91" s="34">
        <v>54</v>
      </c>
      <c r="F91" s="32" t="s">
        <v>80</v>
      </c>
      <c r="G91" s="32" t="s">
        <v>51</v>
      </c>
      <c r="H91" s="35" t="s">
        <v>62</v>
      </c>
      <c r="I91" s="35" t="s">
        <v>124</v>
      </c>
      <c r="J91" s="35" t="s">
        <v>64</v>
      </c>
      <c r="K91" s="34">
        <v>15</v>
      </c>
      <c r="L91" s="34">
        <v>2200</v>
      </c>
      <c r="M91" s="34">
        <v>0.1</v>
      </c>
      <c r="N91" s="32" t="s">
        <v>65</v>
      </c>
      <c r="O91" s="32" t="s">
        <v>56</v>
      </c>
      <c r="P91" s="33">
        <v>46038</v>
      </c>
      <c r="Q91" s="34">
        <v>4</v>
      </c>
      <c r="R91" s="32" t="s">
        <v>57</v>
      </c>
      <c r="S91" s="35" t="s">
        <v>104</v>
      </c>
      <c r="T91" s="34">
        <f t="shared" si="6"/>
        <v>33000</v>
      </c>
      <c r="U91" s="34">
        <f t="shared" si="7"/>
        <v>3300</v>
      </c>
      <c r="V91" s="34">
        <f t="shared" si="8"/>
        <v>29700</v>
      </c>
    </row>
    <row r="92" spans="1:22" ht="20.100000000000001" customHeight="1" x14ac:dyDescent="0.3">
      <c r="A92" s="31" t="s">
        <v>223</v>
      </c>
      <c r="B92" s="33">
        <v>46034</v>
      </c>
      <c r="C92" s="35" t="s">
        <v>114</v>
      </c>
      <c r="D92" s="32" t="s">
        <v>49</v>
      </c>
      <c r="E92" s="34">
        <v>50</v>
      </c>
      <c r="F92" s="32" t="s">
        <v>89</v>
      </c>
      <c r="G92" s="32" t="s">
        <v>90</v>
      </c>
      <c r="H92" s="35" t="s">
        <v>52</v>
      </c>
      <c r="I92" s="35" t="s">
        <v>53</v>
      </c>
      <c r="J92" s="35" t="s">
        <v>64</v>
      </c>
      <c r="K92" s="34">
        <v>13</v>
      </c>
      <c r="L92" s="34">
        <v>55000</v>
      </c>
      <c r="M92" s="34">
        <v>0.15</v>
      </c>
      <c r="N92" s="32" t="s">
        <v>55</v>
      </c>
      <c r="O92" s="32" t="s">
        <v>56</v>
      </c>
      <c r="P92" s="33">
        <v>46040</v>
      </c>
      <c r="Q92" s="34">
        <v>4</v>
      </c>
      <c r="R92" s="32" t="s">
        <v>57</v>
      </c>
      <c r="S92" s="35" t="s">
        <v>58</v>
      </c>
      <c r="T92" s="34">
        <f t="shared" si="6"/>
        <v>715000</v>
      </c>
      <c r="U92" s="34">
        <f t="shared" si="7"/>
        <v>107250</v>
      </c>
      <c r="V92" s="34">
        <f t="shared" si="8"/>
        <v>607750</v>
      </c>
    </row>
    <row r="93" spans="1:22" ht="20.100000000000001" customHeight="1" x14ac:dyDescent="0.3">
      <c r="A93" s="31" t="s">
        <v>224</v>
      </c>
      <c r="B93" s="33">
        <v>46105</v>
      </c>
      <c r="C93" s="35" t="s">
        <v>185</v>
      </c>
      <c r="D93" s="32" t="s">
        <v>61</v>
      </c>
      <c r="E93" s="34">
        <v>29</v>
      </c>
      <c r="F93" s="32" t="s">
        <v>99</v>
      </c>
      <c r="G93" s="32" t="s">
        <v>51</v>
      </c>
      <c r="H93" s="35" t="s">
        <v>62</v>
      </c>
      <c r="I93" s="35" t="s">
        <v>63</v>
      </c>
      <c r="J93" s="35" t="s">
        <v>143</v>
      </c>
      <c r="K93" s="34">
        <v>23</v>
      </c>
      <c r="L93" s="34">
        <v>250</v>
      </c>
      <c r="M93" s="34">
        <v>0.1</v>
      </c>
      <c r="N93" s="32" t="s">
        <v>92</v>
      </c>
      <c r="O93" s="32" t="s">
        <v>125</v>
      </c>
      <c r="P93" s="33">
        <v>46110</v>
      </c>
      <c r="Q93" s="34">
        <v>5</v>
      </c>
      <c r="R93" s="32" t="s">
        <v>76</v>
      </c>
      <c r="S93" s="35" t="s">
        <v>121</v>
      </c>
      <c r="T93" s="34">
        <f t="shared" si="6"/>
        <v>5750</v>
      </c>
      <c r="U93" s="34">
        <f t="shared" si="7"/>
        <v>575</v>
      </c>
      <c r="V93" s="34">
        <f t="shared" si="8"/>
        <v>5175</v>
      </c>
    </row>
    <row r="94" spans="1:22" ht="20.100000000000001" customHeight="1" x14ac:dyDescent="0.3">
      <c r="A94" s="31" t="s">
        <v>225</v>
      </c>
      <c r="B94" s="33">
        <v>46152</v>
      </c>
      <c r="C94" s="35" t="s">
        <v>167</v>
      </c>
      <c r="D94" s="32" t="s">
        <v>61</v>
      </c>
      <c r="E94" s="34">
        <v>28</v>
      </c>
      <c r="F94" s="32" t="s">
        <v>89</v>
      </c>
      <c r="G94" s="32" t="s">
        <v>90</v>
      </c>
      <c r="H94" s="35" t="s">
        <v>62</v>
      </c>
      <c r="I94" s="35" t="s">
        <v>63</v>
      </c>
      <c r="J94" s="35" t="s">
        <v>54</v>
      </c>
      <c r="K94" s="34">
        <v>7</v>
      </c>
      <c r="L94" s="34">
        <v>250</v>
      </c>
      <c r="M94" s="34">
        <v>0.15</v>
      </c>
      <c r="N94" s="32" t="s">
        <v>92</v>
      </c>
      <c r="O94" s="32" t="s">
        <v>75</v>
      </c>
      <c r="P94" s="33">
        <v>46157</v>
      </c>
      <c r="Q94" s="34">
        <v>4</v>
      </c>
      <c r="R94" s="32" t="s">
        <v>76</v>
      </c>
      <c r="S94" s="35" t="s">
        <v>77</v>
      </c>
      <c r="T94" s="34">
        <f t="shared" si="6"/>
        <v>1750</v>
      </c>
      <c r="U94" s="34">
        <f t="shared" si="7"/>
        <v>262.5</v>
      </c>
      <c r="V94" s="34">
        <f t="shared" si="8"/>
        <v>1487.5</v>
      </c>
    </row>
    <row r="95" spans="1:22" ht="20.100000000000001" customHeight="1" x14ac:dyDescent="0.3">
      <c r="A95" s="31" t="s">
        <v>226</v>
      </c>
      <c r="B95" s="33">
        <v>46139</v>
      </c>
      <c r="C95" s="35" t="s">
        <v>167</v>
      </c>
      <c r="D95" s="32" t="s">
        <v>61</v>
      </c>
      <c r="E95" s="34">
        <v>41</v>
      </c>
      <c r="F95" s="32" t="s">
        <v>120</v>
      </c>
      <c r="G95" s="32" t="s">
        <v>51</v>
      </c>
      <c r="H95" s="35" t="s">
        <v>71</v>
      </c>
      <c r="I95" s="35" t="s">
        <v>85</v>
      </c>
      <c r="J95" s="35" t="s">
        <v>97</v>
      </c>
      <c r="K95" s="34">
        <v>5</v>
      </c>
      <c r="L95" s="34">
        <v>85</v>
      </c>
      <c r="M95" s="34">
        <v>0.25</v>
      </c>
      <c r="N95" s="32" t="s">
        <v>92</v>
      </c>
      <c r="O95" s="32" t="s">
        <v>56</v>
      </c>
      <c r="P95" s="33">
        <v>46143</v>
      </c>
      <c r="Q95" s="34">
        <v>1</v>
      </c>
      <c r="R95" s="32" t="s">
        <v>57</v>
      </c>
      <c r="S95" s="35" t="s">
        <v>121</v>
      </c>
      <c r="T95" s="34">
        <f t="shared" si="6"/>
        <v>425</v>
      </c>
      <c r="U95" s="34">
        <f t="shared" si="7"/>
        <v>106.25</v>
      </c>
      <c r="V95" s="34">
        <f t="shared" si="8"/>
        <v>318.75</v>
      </c>
    </row>
    <row r="96" spans="1:22" ht="20.100000000000001" customHeight="1" x14ac:dyDescent="0.3">
      <c r="A96" s="31" t="s">
        <v>227</v>
      </c>
      <c r="B96" s="33">
        <v>46047</v>
      </c>
      <c r="C96" s="35" t="s">
        <v>222</v>
      </c>
      <c r="D96" s="32" t="s">
        <v>49</v>
      </c>
      <c r="E96" s="34">
        <v>29</v>
      </c>
      <c r="F96" s="32" t="s">
        <v>115</v>
      </c>
      <c r="G96" s="32" t="s">
        <v>51</v>
      </c>
      <c r="H96" s="35" t="s">
        <v>52</v>
      </c>
      <c r="I96" s="35" t="s">
        <v>91</v>
      </c>
      <c r="J96" s="35" t="s">
        <v>143</v>
      </c>
      <c r="K96" s="34">
        <v>18</v>
      </c>
      <c r="L96" s="34">
        <v>12500</v>
      </c>
      <c r="M96" s="34">
        <v>0.1</v>
      </c>
      <c r="N96" s="32" t="s">
        <v>55</v>
      </c>
      <c r="O96" s="32" t="s">
        <v>56</v>
      </c>
      <c r="P96" s="33">
        <v>46053</v>
      </c>
      <c r="Q96" s="34">
        <v>4</v>
      </c>
      <c r="R96" s="32" t="s">
        <v>57</v>
      </c>
      <c r="S96" s="35" t="s">
        <v>101</v>
      </c>
      <c r="T96" s="34">
        <f t="shared" si="6"/>
        <v>225000</v>
      </c>
      <c r="U96" s="34">
        <f t="shared" si="7"/>
        <v>22500</v>
      </c>
      <c r="V96" s="34">
        <f t="shared" si="8"/>
        <v>202500</v>
      </c>
    </row>
    <row r="97" spans="1:22" ht="20.100000000000001" customHeight="1" x14ac:dyDescent="0.3">
      <c r="A97" s="31" t="s">
        <v>228</v>
      </c>
      <c r="B97" s="33">
        <v>46176</v>
      </c>
      <c r="C97" s="35" t="s">
        <v>207</v>
      </c>
      <c r="D97" s="32" t="s">
        <v>61</v>
      </c>
      <c r="E97" s="34">
        <v>57</v>
      </c>
      <c r="F97" s="32" t="s">
        <v>115</v>
      </c>
      <c r="G97" s="32" t="s">
        <v>51</v>
      </c>
      <c r="H97" s="35" t="s">
        <v>52</v>
      </c>
      <c r="I97" s="35" t="s">
        <v>100</v>
      </c>
      <c r="J97" s="35" t="s">
        <v>54</v>
      </c>
      <c r="K97" s="34">
        <v>16</v>
      </c>
      <c r="L97" s="34">
        <v>1200</v>
      </c>
      <c r="M97" s="34">
        <v>0.05</v>
      </c>
      <c r="N97" s="32" t="s">
        <v>55</v>
      </c>
      <c r="O97" s="32" t="s">
        <v>56</v>
      </c>
      <c r="P97" s="33">
        <v>46179</v>
      </c>
      <c r="Q97" s="34">
        <v>5</v>
      </c>
      <c r="R97" s="32" t="s">
        <v>76</v>
      </c>
      <c r="S97" s="35" t="s">
        <v>58</v>
      </c>
      <c r="T97" s="34">
        <f t="shared" si="6"/>
        <v>19200</v>
      </c>
      <c r="U97" s="34">
        <f t="shared" si="7"/>
        <v>960</v>
      </c>
      <c r="V97" s="34">
        <f t="shared" si="8"/>
        <v>18240</v>
      </c>
    </row>
    <row r="98" spans="1:22" ht="20.100000000000001" customHeight="1" x14ac:dyDescent="0.3">
      <c r="A98" s="31" t="s">
        <v>229</v>
      </c>
      <c r="B98" s="33">
        <v>46218</v>
      </c>
      <c r="C98" s="35" t="s">
        <v>118</v>
      </c>
      <c r="D98" s="32" t="s">
        <v>61</v>
      </c>
      <c r="E98" s="34">
        <v>48</v>
      </c>
      <c r="F98" s="32" t="s">
        <v>115</v>
      </c>
      <c r="G98" s="32" t="s">
        <v>51</v>
      </c>
      <c r="H98" s="35" t="s">
        <v>62</v>
      </c>
      <c r="I98" s="35" t="s">
        <v>63</v>
      </c>
      <c r="J98" s="35" t="s">
        <v>54</v>
      </c>
      <c r="K98" s="34">
        <v>21</v>
      </c>
      <c r="L98" s="34">
        <v>250</v>
      </c>
      <c r="M98" s="34">
        <v>0.2</v>
      </c>
      <c r="N98" s="32" t="s">
        <v>55</v>
      </c>
      <c r="O98" s="32" t="s">
        <v>56</v>
      </c>
      <c r="P98" s="33">
        <v>46221</v>
      </c>
      <c r="Q98" s="34">
        <v>3</v>
      </c>
      <c r="R98" s="32" t="s">
        <v>57</v>
      </c>
      <c r="S98" s="35" t="s">
        <v>129</v>
      </c>
      <c r="T98" s="34">
        <f t="shared" si="6"/>
        <v>5250</v>
      </c>
      <c r="U98" s="34">
        <f t="shared" ref="U98:U101" si="9">T98*M98</f>
        <v>1050</v>
      </c>
      <c r="V98" s="34">
        <f t="shared" ref="V98:V101" si="10">T98-U98</f>
        <v>4200</v>
      </c>
    </row>
    <row r="99" spans="1:22" ht="20.100000000000001" customHeight="1" x14ac:dyDescent="0.3">
      <c r="A99" s="31" t="s">
        <v>230</v>
      </c>
      <c r="B99" s="33">
        <v>46092</v>
      </c>
      <c r="C99" s="35" t="s">
        <v>94</v>
      </c>
      <c r="D99" s="32" t="s">
        <v>49</v>
      </c>
      <c r="E99" s="34">
        <v>42</v>
      </c>
      <c r="F99" s="32" t="s">
        <v>200</v>
      </c>
      <c r="G99" s="32" t="s">
        <v>51</v>
      </c>
      <c r="H99" s="35" t="s">
        <v>52</v>
      </c>
      <c r="I99" s="35" t="s">
        <v>100</v>
      </c>
      <c r="J99" s="35" t="s">
        <v>82</v>
      </c>
      <c r="K99" s="34">
        <v>5</v>
      </c>
      <c r="L99" s="34">
        <v>1200</v>
      </c>
      <c r="M99" s="34">
        <v>0.2</v>
      </c>
      <c r="N99" s="32" t="s">
        <v>92</v>
      </c>
      <c r="O99" s="32" t="s">
        <v>56</v>
      </c>
      <c r="P99" s="33">
        <v>46098</v>
      </c>
      <c r="Q99" s="34">
        <v>1</v>
      </c>
      <c r="R99" s="32" t="s">
        <v>57</v>
      </c>
      <c r="S99" s="35" t="s">
        <v>66</v>
      </c>
      <c r="T99" s="34">
        <f t="shared" si="6"/>
        <v>6000</v>
      </c>
      <c r="U99" s="34">
        <f t="shared" si="9"/>
        <v>1200</v>
      </c>
      <c r="V99" s="34">
        <f t="shared" si="10"/>
        <v>4800</v>
      </c>
    </row>
    <row r="100" spans="1:22" ht="20.100000000000001" customHeight="1" x14ac:dyDescent="0.3">
      <c r="A100" s="31" t="s">
        <v>231</v>
      </c>
      <c r="B100" s="33">
        <v>46158</v>
      </c>
      <c r="C100" s="35" t="s">
        <v>153</v>
      </c>
      <c r="D100" s="32" t="s">
        <v>49</v>
      </c>
      <c r="E100" s="34">
        <v>50</v>
      </c>
      <c r="F100" s="32" t="s">
        <v>200</v>
      </c>
      <c r="G100" s="32" t="s">
        <v>51</v>
      </c>
      <c r="H100" s="35" t="s">
        <v>52</v>
      </c>
      <c r="I100" s="35" t="s">
        <v>109</v>
      </c>
      <c r="J100" s="35" t="s">
        <v>97</v>
      </c>
      <c r="K100" s="34">
        <v>24</v>
      </c>
      <c r="L100" s="34">
        <v>650</v>
      </c>
      <c r="M100" s="34">
        <v>0.1</v>
      </c>
      <c r="N100" s="32" t="s">
        <v>65</v>
      </c>
      <c r="O100" s="32" t="s">
        <v>56</v>
      </c>
      <c r="P100" s="33">
        <v>46160</v>
      </c>
      <c r="Q100" s="34">
        <v>1</v>
      </c>
      <c r="R100" s="32" t="s">
        <v>57</v>
      </c>
      <c r="S100" s="35" t="s">
        <v>129</v>
      </c>
      <c r="T100" s="34">
        <f t="shared" si="6"/>
        <v>15600</v>
      </c>
      <c r="U100" s="34">
        <f t="shared" si="9"/>
        <v>1560</v>
      </c>
      <c r="V100" s="34">
        <f t="shared" si="10"/>
        <v>14040</v>
      </c>
    </row>
    <row r="101" spans="1:22" ht="20.100000000000001" customHeight="1" x14ac:dyDescent="0.3">
      <c r="A101" s="31" t="s">
        <v>232</v>
      </c>
      <c r="B101" s="33">
        <v>46216</v>
      </c>
      <c r="C101" s="35" t="s">
        <v>141</v>
      </c>
      <c r="D101" s="32" t="s">
        <v>61</v>
      </c>
      <c r="E101" s="34">
        <v>38</v>
      </c>
      <c r="F101" s="32" t="s">
        <v>123</v>
      </c>
      <c r="G101" s="32" t="s">
        <v>51</v>
      </c>
      <c r="H101" s="35" t="s">
        <v>62</v>
      </c>
      <c r="I101" s="35" t="s">
        <v>146</v>
      </c>
      <c r="J101" s="35" t="s">
        <v>64</v>
      </c>
      <c r="K101" s="34">
        <v>20</v>
      </c>
      <c r="L101" s="34">
        <v>1800</v>
      </c>
      <c r="M101" s="34">
        <v>0.15</v>
      </c>
      <c r="N101" s="32" t="s">
        <v>92</v>
      </c>
      <c r="O101" s="32" t="s">
        <v>56</v>
      </c>
      <c r="P101" s="33">
        <v>46221</v>
      </c>
      <c r="Q101" s="34">
        <v>5</v>
      </c>
      <c r="R101" s="32" t="s">
        <v>57</v>
      </c>
      <c r="S101" s="35" t="s">
        <v>101</v>
      </c>
      <c r="T101" s="34">
        <f t="shared" si="6"/>
        <v>36000</v>
      </c>
      <c r="U101" s="34">
        <f t="shared" si="9"/>
        <v>5400</v>
      </c>
      <c r="V101" s="34">
        <f t="shared" si="10"/>
        <v>30600</v>
      </c>
    </row>
  </sheetData>
  <pageMargins left="0.75" right="0.75" top="1" bottom="1" header="0.5" footer="0.5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2:D21"/>
  <sheetViews>
    <sheetView workbookViewId="0"/>
  </sheetViews>
  <sheetFormatPr defaultRowHeight="15" x14ac:dyDescent="0.25"/>
  <cols>
    <col min="1" max="1" width="12" customWidth="1"/>
    <col min="2" max="2" width="29" customWidth="1"/>
    <col min="3" max="3" width="12" customWidth="1"/>
    <col min="4" max="4" width="36" customWidth="1"/>
  </cols>
  <sheetData>
    <row r="2" spans="2:4" ht="25.5" x14ac:dyDescent="0.5">
      <c r="B2" s="1" t="s">
        <v>233</v>
      </c>
    </row>
    <row r="3" spans="2:4" x14ac:dyDescent="0.25">
      <c r="B3" s="5" t="s">
        <v>234</v>
      </c>
    </row>
    <row r="5" spans="2:4" ht="16.5" x14ac:dyDescent="0.25">
      <c r="B5" s="6" t="s">
        <v>235</v>
      </c>
      <c r="C5" s="7"/>
      <c r="D5" s="5" t="s">
        <v>236</v>
      </c>
    </row>
    <row r="6" spans="2:4" ht="16.5" x14ac:dyDescent="0.25">
      <c r="B6" s="6" t="s">
        <v>237</v>
      </c>
      <c r="C6" s="7"/>
      <c r="D6" s="5" t="s">
        <v>238</v>
      </c>
    </row>
    <row r="7" spans="2:4" ht="16.5" x14ac:dyDescent="0.25">
      <c r="B7" s="6" t="s">
        <v>239</v>
      </c>
      <c r="C7" s="7"/>
      <c r="D7" s="5" t="s">
        <v>240</v>
      </c>
    </row>
    <row r="8" spans="2:4" ht="16.5" x14ac:dyDescent="0.25">
      <c r="B8" s="6" t="s">
        <v>28</v>
      </c>
      <c r="C8" s="7"/>
      <c r="D8" s="5" t="s">
        <v>241</v>
      </c>
    </row>
    <row r="9" spans="2:4" ht="16.5" x14ac:dyDescent="0.25">
      <c r="B9" s="6" t="s">
        <v>29</v>
      </c>
      <c r="C9" s="7"/>
      <c r="D9" s="5" t="s">
        <v>242</v>
      </c>
    </row>
    <row r="10" spans="2:4" ht="16.5" x14ac:dyDescent="0.25">
      <c r="B10" s="6" t="s">
        <v>30</v>
      </c>
      <c r="C10" s="7"/>
      <c r="D10" s="5" t="s">
        <v>243</v>
      </c>
    </row>
    <row r="11" spans="2:4" ht="16.5" x14ac:dyDescent="0.25">
      <c r="B11" s="6" t="s">
        <v>31</v>
      </c>
      <c r="C11" s="7"/>
      <c r="D11" s="5" t="s">
        <v>244</v>
      </c>
    </row>
    <row r="12" spans="2:4" ht="16.5" x14ac:dyDescent="0.25">
      <c r="B12" s="6" t="s">
        <v>245</v>
      </c>
      <c r="C12" s="7"/>
      <c r="D12" s="5" t="s">
        <v>246</v>
      </c>
    </row>
    <row r="13" spans="2:4" ht="16.5" x14ac:dyDescent="0.25">
      <c r="B13" s="6" t="s">
        <v>33</v>
      </c>
      <c r="C13" s="7"/>
      <c r="D13" s="5" t="s">
        <v>247</v>
      </c>
    </row>
    <row r="14" spans="2:4" ht="16.5" x14ac:dyDescent="0.25">
      <c r="B14" s="6" t="s">
        <v>34</v>
      </c>
      <c r="C14" s="7"/>
      <c r="D14" s="5" t="s">
        <v>248</v>
      </c>
    </row>
    <row r="15" spans="2:4" ht="16.5" x14ac:dyDescent="0.25">
      <c r="B15" s="6" t="s">
        <v>35</v>
      </c>
      <c r="C15" s="7"/>
      <c r="D15" s="5" t="s">
        <v>249</v>
      </c>
    </row>
    <row r="16" spans="2:4" ht="16.5" x14ac:dyDescent="0.25">
      <c r="B16" s="6" t="s">
        <v>250</v>
      </c>
      <c r="C16" s="7"/>
      <c r="D16" s="5" t="s">
        <v>251</v>
      </c>
    </row>
    <row r="17" spans="2:4" ht="16.5" x14ac:dyDescent="0.25">
      <c r="B17" s="6" t="s">
        <v>252</v>
      </c>
      <c r="C17" s="7"/>
      <c r="D17" s="5" t="s">
        <v>253</v>
      </c>
    </row>
    <row r="18" spans="2:4" ht="16.5" x14ac:dyDescent="0.25">
      <c r="B18" s="6" t="s">
        <v>254</v>
      </c>
      <c r="C18" s="7"/>
      <c r="D18" s="5" t="s">
        <v>255</v>
      </c>
    </row>
    <row r="19" spans="2:4" ht="16.5" x14ac:dyDescent="0.25">
      <c r="B19" s="6" t="s">
        <v>256</v>
      </c>
      <c r="C19" s="7"/>
      <c r="D19" s="5" t="s">
        <v>257</v>
      </c>
    </row>
    <row r="20" spans="2:4" ht="16.5" x14ac:dyDescent="0.25">
      <c r="B20" s="6" t="s">
        <v>258</v>
      </c>
      <c r="C20" s="7"/>
      <c r="D20" s="5" t="s">
        <v>259</v>
      </c>
    </row>
    <row r="21" spans="2:4" ht="16.5" x14ac:dyDescent="0.25">
      <c r="B21" s="6" t="s">
        <v>41</v>
      </c>
      <c r="C21" s="7"/>
      <c r="D21" s="5" t="s">
        <v>260</v>
      </c>
    </row>
  </sheetData>
  <dataValidations count="7">
    <dataValidation type="list" allowBlank="1" errorTitle="Invalid Input" error="Your entry is not in the list" promptTitle="Gender" prompt="Please select from the list" sqref="C8" xr:uid="{00000000-0002-0000-0200-000000000000}">
      <formula1>"Male,Female"</formula1>
    </dataValidation>
    <dataValidation type="list" allowBlank="1" sqref="C18" xr:uid="{00000000-0002-0000-0200-000001000000}">
      <formula1>"Cash,UPI,Credit Card,Debit Card,Net Banking"</formula1>
    </dataValidation>
    <dataValidation type="list" allowBlank="1" sqref="C19" xr:uid="{00000000-0002-0000-0200-000002000000}">
      <formula1>"Completed,Pending,Cancelled"</formula1>
    </dataValidation>
    <dataValidation type="list" allowBlank="1" sqref="C20" xr:uid="{00000000-0002-0000-0200-000003000000}">
      <formula1>"New,Returning"</formula1>
    </dataValidation>
    <dataValidation type="whole" errorTitle="Invalid Quantity" error="Quantity must be between 1 and 100" sqref="C15" xr:uid="{00000000-0002-0000-0200-000004000000}">
      <formula1>1</formula1>
      <formula2>100</formula2>
    </dataValidation>
    <dataValidation type="decimal" errorTitle="Invalid Discount" error="Discount must be between 0% and 50%" sqref="C17" xr:uid="{00000000-0002-0000-0200-000005000000}">
      <formula1>0</formula1>
      <formula2>0.5</formula2>
    </dataValidation>
    <dataValidation type="whole" errorTitle="Invalid Rating" error="Rating must be an integer between 1 and 5" sqref="C21" xr:uid="{00000000-0002-0000-0200-000006000000}">
      <formula1>1</formula1>
      <formula2>5</formula2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O15"/>
  <sheetViews>
    <sheetView workbookViewId="0">
      <selection activeCell="C20" sqref="C20"/>
    </sheetView>
  </sheetViews>
  <sheetFormatPr defaultRowHeight="15" x14ac:dyDescent="0.25"/>
  <cols>
    <col min="1" max="1" width="37" customWidth="1"/>
    <col min="2" max="2" width="12" customWidth="1"/>
    <col min="3" max="3" width="27" customWidth="1"/>
    <col min="4" max="4" width="12" customWidth="1"/>
    <col min="5" max="5" width="26" customWidth="1"/>
    <col min="6" max="6" width="12" customWidth="1"/>
    <col min="7" max="7" width="21" customWidth="1"/>
    <col min="8" max="8" width="12" customWidth="1"/>
    <col min="9" max="9" width="18" customWidth="1"/>
    <col min="10" max="10" width="12" customWidth="1"/>
    <col min="11" max="11" width="16" customWidth="1"/>
    <col min="12" max="12" width="12" customWidth="1"/>
    <col min="13" max="13" width="21" customWidth="1"/>
    <col min="14" max="14" width="12" customWidth="1"/>
    <col min="15" max="15" width="22" customWidth="1"/>
  </cols>
  <sheetData>
    <row r="1" spans="1:15" ht="25.5" x14ac:dyDescent="0.5">
      <c r="A1" s="1" t="s">
        <v>261</v>
      </c>
    </row>
    <row r="3" spans="1:15" ht="16.5" x14ac:dyDescent="0.25">
      <c r="A3" s="8" t="s">
        <v>262</v>
      </c>
      <c r="C3" s="8" t="s">
        <v>263</v>
      </c>
      <c r="E3" s="8" t="s">
        <v>264</v>
      </c>
      <c r="G3" s="8" t="s">
        <v>265</v>
      </c>
      <c r="I3" s="8" t="s">
        <v>266</v>
      </c>
      <c r="K3" s="8" t="s">
        <v>267</v>
      </c>
      <c r="M3" s="8" t="s">
        <v>268</v>
      </c>
      <c r="O3" s="8" t="s">
        <v>269</v>
      </c>
    </row>
    <row r="4" spans="1:15" x14ac:dyDescent="0.25">
      <c r="A4" s="9"/>
      <c r="C4" s="9"/>
      <c r="E4" s="9"/>
      <c r="G4" s="10"/>
      <c r="I4" s="9"/>
      <c r="K4" s="9"/>
      <c r="M4" s="11"/>
      <c r="O4" s="9"/>
    </row>
    <row r="5" spans="1:15" x14ac:dyDescent="0.25">
      <c r="A5" s="9"/>
      <c r="C5" s="9"/>
      <c r="E5" s="9"/>
      <c r="G5" s="10"/>
      <c r="I5" s="9"/>
      <c r="K5" s="9"/>
      <c r="M5" s="11"/>
      <c r="O5" s="9"/>
    </row>
    <row r="6" spans="1:15" x14ac:dyDescent="0.25">
      <c r="A6" s="9"/>
      <c r="C6" s="9"/>
      <c r="E6" s="9"/>
      <c r="G6" s="10"/>
      <c r="I6" s="9"/>
      <c r="K6" s="9"/>
      <c r="M6" s="11"/>
      <c r="O6" s="9"/>
    </row>
    <row r="7" spans="1:15" x14ac:dyDescent="0.25">
      <c r="A7" s="9"/>
      <c r="C7" s="9"/>
      <c r="E7" s="9"/>
      <c r="G7" s="10"/>
      <c r="I7" s="9"/>
      <c r="K7" s="9"/>
      <c r="M7" s="11"/>
      <c r="O7" s="9"/>
    </row>
    <row r="8" spans="1:15" x14ac:dyDescent="0.25">
      <c r="A8" s="9"/>
      <c r="C8" s="9"/>
      <c r="E8" s="9"/>
      <c r="G8" s="10"/>
      <c r="I8" s="9"/>
      <c r="K8" s="9"/>
      <c r="M8" s="11"/>
      <c r="O8" s="9"/>
    </row>
    <row r="9" spans="1:15" x14ac:dyDescent="0.25">
      <c r="A9" s="9"/>
      <c r="C9" s="9"/>
      <c r="E9" s="9"/>
      <c r="G9" s="10"/>
      <c r="I9" s="9"/>
      <c r="K9" s="9"/>
      <c r="M9" s="11"/>
      <c r="O9" s="9"/>
    </row>
    <row r="10" spans="1:15" x14ac:dyDescent="0.25">
      <c r="A10" s="9"/>
      <c r="C10" s="9"/>
      <c r="E10" s="9"/>
      <c r="G10" s="10"/>
      <c r="I10" s="9"/>
      <c r="K10" s="9"/>
      <c r="M10" s="11"/>
      <c r="O10" s="9"/>
    </row>
    <row r="11" spans="1:15" x14ac:dyDescent="0.25">
      <c r="A11" s="9"/>
      <c r="C11" s="9"/>
      <c r="E11" s="9"/>
      <c r="G11" s="10"/>
      <c r="I11" s="9"/>
      <c r="K11" s="9"/>
      <c r="M11" s="11"/>
      <c r="O11" s="9"/>
    </row>
    <row r="12" spans="1:15" x14ac:dyDescent="0.25">
      <c r="A12" s="9"/>
      <c r="C12" s="9"/>
      <c r="E12" s="9"/>
      <c r="G12" s="10"/>
      <c r="I12" s="9"/>
      <c r="K12" s="9"/>
      <c r="M12" s="11"/>
      <c r="O12" s="9"/>
    </row>
    <row r="13" spans="1:15" x14ac:dyDescent="0.25">
      <c r="A13" s="9"/>
      <c r="C13" s="9"/>
      <c r="E13" s="9"/>
      <c r="G13" s="10"/>
      <c r="I13" s="9"/>
      <c r="K13" s="9"/>
      <c r="M13" s="11"/>
      <c r="O13" s="9"/>
    </row>
    <row r="14" spans="1:15" x14ac:dyDescent="0.25">
      <c r="A14" s="9"/>
      <c r="C14" s="9"/>
      <c r="E14" s="9"/>
      <c r="G14" s="10"/>
      <c r="I14" s="9"/>
      <c r="K14" s="9"/>
      <c r="M14" s="11"/>
      <c r="O14" s="9"/>
    </row>
    <row r="15" spans="1:15" x14ac:dyDescent="0.25">
      <c r="A15" s="9"/>
      <c r="C15" s="9"/>
      <c r="E15" s="9"/>
      <c r="G15" s="10"/>
      <c r="I15" s="9"/>
      <c r="K15" s="9"/>
      <c r="M15" s="11"/>
      <c r="O15" s="9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22"/>
  <sheetViews>
    <sheetView zoomScaleNormal="100" workbookViewId="0">
      <selection activeCell="D19" sqref="D19"/>
    </sheetView>
  </sheetViews>
  <sheetFormatPr defaultRowHeight="15" x14ac:dyDescent="0.25"/>
  <cols>
    <col min="1" max="1" width="68.85546875" bestFit="1" customWidth="1"/>
    <col min="2" max="3" width="17.5703125" bestFit="1" customWidth="1"/>
    <col min="4" max="4" width="36" customWidth="1"/>
    <col min="5" max="5" width="25.5703125" bestFit="1" customWidth="1"/>
    <col min="6" max="6" width="19.7109375" bestFit="1" customWidth="1"/>
  </cols>
  <sheetData>
    <row r="1" spans="1:6" ht="25.5" x14ac:dyDescent="0.5">
      <c r="A1" s="1" t="s">
        <v>270</v>
      </c>
    </row>
    <row r="3" spans="1:6" ht="18.75" x14ac:dyDescent="0.35">
      <c r="A3" s="2" t="s">
        <v>271</v>
      </c>
      <c r="D3" s="2" t="s">
        <v>272</v>
      </c>
    </row>
    <row r="4" spans="1:6" ht="16.5" x14ac:dyDescent="0.3">
      <c r="A4" s="12" t="s">
        <v>273</v>
      </c>
      <c r="B4" s="12" t="s">
        <v>274</v>
      </c>
      <c r="D4" s="12" t="s">
        <v>256</v>
      </c>
      <c r="E4" s="12" t="s">
        <v>275</v>
      </c>
      <c r="F4" s="12" t="s">
        <v>276</v>
      </c>
    </row>
    <row r="5" spans="1:6" ht="16.5" x14ac:dyDescent="0.3">
      <c r="A5" s="13" t="s">
        <v>277</v>
      </c>
      <c r="B5" s="14"/>
      <c r="D5" s="13" t="s">
        <v>56</v>
      </c>
      <c r="E5" s="15"/>
      <c r="F5" s="16"/>
    </row>
    <row r="6" spans="1:6" ht="16.5" x14ac:dyDescent="0.3">
      <c r="A6" s="13" t="s">
        <v>278</v>
      </c>
      <c r="B6" s="16"/>
      <c r="D6" s="13" t="s">
        <v>75</v>
      </c>
      <c r="E6" s="15"/>
      <c r="F6" s="16"/>
    </row>
    <row r="7" spans="1:6" ht="16.5" x14ac:dyDescent="0.3">
      <c r="A7" s="13" t="s">
        <v>279</v>
      </c>
      <c r="B7" s="16"/>
      <c r="D7" s="13" t="s">
        <v>125</v>
      </c>
      <c r="E7" s="15"/>
      <c r="F7" s="16"/>
    </row>
    <row r="8" spans="1:6" ht="16.5" x14ac:dyDescent="0.3">
      <c r="A8" s="13" t="s">
        <v>280</v>
      </c>
      <c r="B8" s="16"/>
    </row>
    <row r="9" spans="1:6" ht="16.5" x14ac:dyDescent="0.3">
      <c r="A9" s="13" t="s">
        <v>281</v>
      </c>
      <c r="B9" s="16"/>
    </row>
    <row r="10" spans="1:6" ht="18.75" x14ac:dyDescent="0.35">
      <c r="A10" s="13" t="s">
        <v>282</v>
      </c>
      <c r="B10" s="16"/>
      <c r="D10" s="2" t="s">
        <v>283</v>
      </c>
    </row>
    <row r="11" spans="1:6" ht="16.5" x14ac:dyDescent="0.3">
      <c r="A11" s="13" t="s">
        <v>284</v>
      </c>
      <c r="B11" s="16"/>
      <c r="D11" s="12" t="s">
        <v>285</v>
      </c>
      <c r="E11" s="12" t="s">
        <v>286</v>
      </c>
      <c r="F11" s="12" t="s">
        <v>287</v>
      </c>
    </row>
    <row r="12" spans="1:6" ht="16.5" x14ac:dyDescent="0.3">
      <c r="A12" s="13" t="s">
        <v>288</v>
      </c>
      <c r="B12" s="17"/>
      <c r="D12" s="13" t="s">
        <v>52</v>
      </c>
      <c r="E12" s="16"/>
      <c r="F12" s="18"/>
    </row>
    <row r="13" spans="1:6" ht="16.5" x14ac:dyDescent="0.3">
      <c r="A13" s="13" t="s">
        <v>289</v>
      </c>
      <c r="B13" s="19"/>
      <c r="D13" s="13" t="s">
        <v>71</v>
      </c>
      <c r="E13" s="16"/>
      <c r="F13" s="18"/>
    </row>
    <row r="14" spans="1:6" ht="16.5" x14ac:dyDescent="0.3">
      <c r="D14" s="13" t="s">
        <v>62</v>
      </c>
      <c r="E14" s="16"/>
      <c r="F14" s="18"/>
    </row>
    <row r="18" spans="1:3" ht="18.75" x14ac:dyDescent="0.35">
      <c r="A18" s="26" t="s">
        <v>332</v>
      </c>
      <c r="B18" s="2"/>
      <c r="C18" s="2"/>
    </row>
    <row r="19" spans="1:3" ht="16.5" x14ac:dyDescent="0.3">
      <c r="A19" s="12" t="s">
        <v>273</v>
      </c>
      <c r="B19" s="12" t="s">
        <v>274</v>
      </c>
      <c r="C19" s="12" t="s">
        <v>274</v>
      </c>
    </row>
    <row r="20" spans="1:3" ht="16.5" x14ac:dyDescent="0.3">
      <c r="A20" s="13" t="s">
        <v>329</v>
      </c>
      <c r="B20" s="16"/>
    </row>
    <row r="21" spans="1:3" ht="16.5" x14ac:dyDescent="0.3">
      <c r="A21" s="13" t="s">
        <v>330</v>
      </c>
      <c r="B21" s="19"/>
      <c r="C21" s="19"/>
    </row>
    <row r="22" spans="1:3" ht="16.5" x14ac:dyDescent="0.3">
      <c r="A22" s="13" t="s">
        <v>331</v>
      </c>
      <c r="B22" s="27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23"/>
  <sheetViews>
    <sheetView tabSelected="1" workbookViewId="0">
      <selection activeCell="D1" sqref="D1"/>
    </sheetView>
  </sheetViews>
  <sheetFormatPr defaultRowHeight="15" x14ac:dyDescent="0.25"/>
  <cols>
    <col min="1" max="1" width="35" customWidth="1"/>
    <col min="2" max="3" width="19" customWidth="1"/>
    <col min="4" max="4" width="14" customWidth="1"/>
    <col min="5" max="5" width="15" customWidth="1"/>
    <col min="6" max="6" width="13" customWidth="1"/>
    <col min="7" max="7" width="22" customWidth="1"/>
    <col min="8" max="8" width="17" customWidth="1"/>
    <col min="9" max="9" width="26" customWidth="1"/>
    <col min="10" max="10" width="21" customWidth="1"/>
  </cols>
  <sheetData>
    <row r="1" spans="1:10" ht="25.5" x14ac:dyDescent="0.5">
      <c r="A1" s="1" t="s">
        <v>290</v>
      </c>
      <c r="C1" t="s">
        <v>333</v>
      </c>
    </row>
    <row r="3" spans="1:10" ht="24.95" customHeight="1" x14ac:dyDescent="0.25">
      <c r="A3" s="8" t="s">
        <v>25</v>
      </c>
      <c r="B3" s="8" t="s">
        <v>26</v>
      </c>
      <c r="C3" s="8" t="s">
        <v>40</v>
      </c>
      <c r="D3" s="8" t="s">
        <v>291</v>
      </c>
      <c r="E3" s="8" t="s">
        <v>292</v>
      </c>
      <c r="F3" s="8" t="s">
        <v>293</v>
      </c>
      <c r="G3" s="8" t="s">
        <v>294</v>
      </c>
      <c r="H3" s="8" t="s">
        <v>295</v>
      </c>
      <c r="I3" s="8" t="s">
        <v>296</v>
      </c>
      <c r="J3" s="8" t="s">
        <v>297</v>
      </c>
    </row>
    <row r="4" spans="1:10" x14ac:dyDescent="0.25">
      <c r="A4" s="9" t="str">
        <f>Sales_Data!A2</f>
        <v>ORD-1001</v>
      </c>
      <c r="B4" s="10">
        <f>Sales_Data!B2</f>
        <v>46186</v>
      </c>
      <c r="C4" s="10">
        <f>Sales_Data!P2</f>
        <v>46187</v>
      </c>
      <c r="D4" s="9"/>
      <c r="E4" s="9"/>
      <c r="F4" s="9"/>
      <c r="G4" s="9"/>
      <c r="H4" s="9"/>
      <c r="I4" s="20"/>
      <c r="J4" s="10"/>
    </row>
    <row r="5" spans="1:10" x14ac:dyDescent="0.25">
      <c r="A5" s="9" t="str">
        <f>Sales_Data!A3</f>
        <v>ORD-1002</v>
      </c>
      <c r="B5" s="10">
        <f>Sales_Data!B3</f>
        <v>46078</v>
      </c>
      <c r="C5" s="10">
        <f>Sales_Data!P3</f>
        <v>46080</v>
      </c>
      <c r="D5" s="9"/>
      <c r="E5" s="9"/>
      <c r="F5" s="9"/>
      <c r="G5" s="9"/>
      <c r="H5" s="9"/>
      <c r="I5" s="20"/>
      <c r="J5" s="10"/>
    </row>
    <row r="6" spans="1:10" x14ac:dyDescent="0.25">
      <c r="A6" s="9" t="str">
        <f>Sales_Data!A4</f>
        <v>ORD-1003</v>
      </c>
      <c r="B6" s="10">
        <f>Sales_Data!B4</f>
        <v>46131</v>
      </c>
      <c r="C6" s="10">
        <f>Sales_Data!P4</f>
        <v>46134</v>
      </c>
      <c r="D6" s="9"/>
      <c r="E6" s="9"/>
      <c r="F6" s="9"/>
      <c r="G6" s="9"/>
      <c r="H6" s="9"/>
      <c r="I6" s="20"/>
      <c r="J6" s="10"/>
    </row>
    <row r="7" spans="1:10" x14ac:dyDescent="0.25">
      <c r="A7" s="9" t="str">
        <f>Sales_Data!A5</f>
        <v>ORD-1004</v>
      </c>
      <c r="B7" s="10">
        <f>Sales_Data!B5</f>
        <v>46034</v>
      </c>
      <c r="C7" s="10">
        <f>Sales_Data!P5</f>
        <v>46040</v>
      </c>
      <c r="D7" s="9"/>
      <c r="E7" s="9"/>
      <c r="F7" s="9"/>
      <c r="G7" s="9"/>
      <c r="H7" s="9"/>
      <c r="I7" s="20"/>
      <c r="J7" s="10"/>
    </row>
    <row r="8" spans="1:10" x14ac:dyDescent="0.25">
      <c r="A8" s="9" t="str">
        <f>Sales_Data!A6</f>
        <v>ORD-1005</v>
      </c>
      <c r="B8" s="10">
        <f>Sales_Data!B6</f>
        <v>46081</v>
      </c>
      <c r="C8" s="10">
        <f>Sales_Data!P6</f>
        <v>46088</v>
      </c>
      <c r="D8" s="9"/>
      <c r="E8" s="9"/>
      <c r="F8" s="9"/>
      <c r="G8" s="9"/>
      <c r="H8" s="9"/>
      <c r="I8" s="20"/>
      <c r="J8" s="10"/>
    </row>
    <row r="9" spans="1:10" x14ac:dyDescent="0.25">
      <c r="A9" s="9" t="str">
        <f>Sales_Data!A7</f>
        <v>ORD-1006</v>
      </c>
      <c r="B9" s="10">
        <f>Sales_Data!B7</f>
        <v>46262</v>
      </c>
      <c r="C9" s="10">
        <f>Sales_Data!P7</f>
        <v>46268</v>
      </c>
      <c r="D9" s="9"/>
      <c r="E9" s="9"/>
      <c r="F9" s="9"/>
      <c r="G9" s="9"/>
      <c r="H9" s="9"/>
      <c r="I9" s="20"/>
      <c r="J9" s="10"/>
    </row>
    <row r="10" spans="1:10" x14ac:dyDescent="0.25">
      <c r="A10" s="9" t="str">
        <f>Sales_Data!A8</f>
        <v>ORD-1007</v>
      </c>
      <c r="B10" s="10">
        <f>Sales_Data!B8</f>
        <v>46106</v>
      </c>
      <c r="C10" s="10">
        <f>Sales_Data!P8</f>
        <v>46113</v>
      </c>
      <c r="D10" s="9"/>
      <c r="E10" s="9"/>
      <c r="F10" s="9"/>
      <c r="G10" s="9"/>
      <c r="H10" s="9"/>
      <c r="I10" s="20"/>
      <c r="J10" s="10"/>
    </row>
    <row r="11" spans="1:10" x14ac:dyDescent="0.25">
      <c r="A11" s="9" t="str">
        <f>Sales_Data!A9</f>
        <v>ORD-1008</v>
      </c>
      <c r="B11" s="10">
        <f>Sales_Data!B9</f>
        <v>46150</v>
      </c>
      <c r="C11" s="10">
        <f>Sales_Data!P9</f>
        <v>46154</v>
      </c>
      <c r="D11" s="9"/>
      <c r="E11" s="9"/>
      <c r="F11" s="9"/>
      <c r="G11" s="9"/>
      <c r="H11" s="9"/>
      <c r="I11" s="20"/>
      <c r="J11" s="10"/>
    </row>
    <row r="12" spans="1:10" x14ac:dyDescent="0.25">
      <c r="A12" s="9" t="str">
        <f>Sales_Data!A10</f>
        <v>ORD-1009</v>
      </c>
      <c r="B12" s="10">
        <f>Sales_Data!B10</f>
        <v>46079</v>
      </c>
      <c r="C12" s="10">
        <f>Sales_Data!P10</f>
        <v>46081</v>
      </c>
      <c r="D12" s="9"/>
      <c r="E12" s="9"/>
      <c r="F12" s="9"/>
      <c r="G12" s="9"/>
      <c r="H12" s="9"/>
      <c r="I12" s="20"/>
      <c r="J12" s="10"/>
    </row>
    <row r="13" spans="1:10" x14ac:dyDescent="0.25">
      <c r="A13" s="9" t="str">
        <f>Sales_Data!A11</f>
        <v>ORD-1010</v>
      </c>
      <c r="B13" s="10">
        <f>Sales_Data!B11</f>
        <v>46142</v>
      </c>
      <c r="C13" s="10">
        <f>Sales_Data!P11</f>
        <v>46147</v>
      </c>
      <c r="D13" s="9"/>
      <c r="E13" s="9"/>
      <c r="F13" s="9"/>
      <c r="G13" s="9"/>
      <c r="H13" s="9"/>
      <c r="I13" s="20"/>
      <c r="J13" s="10"/>
    </row>
    <row r="14" spans="1:10" x14ac:dyDescent="0.25">
      <c r="A14" s="9" t="str">
        <f>Sales_Data!A12</f>
        <v>ORD-1011</v>
      </c>
      <c r="B14" s="10">
        <f>Sales_Data!B12</f>
        <v>46207</v>
      </c>
      <c r="C14" s="10">
        <f>Sales_Data!P12</f>
        <v>46213</v>
      </c>
      <c r="D14" s="9"/>
      <c r="E14" s="9"/>
      <c r="F14" s="9"/>
      <c r="G14" s="9"/>
      <c r="H14" s="9"/>
      <c r="I14" s="20"/>
      <c r="J14" s="10"/>
    </row>
    <row r="15" spans="1:10" x14ac:dyDescent="0.25">
      <c r="A15" s="9" t="str">
        <f>Sales_Data!A13</f>
        <v>ORD-1012</v>
      </c>
      <c r="B15" s="10">
        <f>Sales_Data!B13</f>
        <v>46222</v>
      </c>
      <c r="C15" s="10">
        <f>Sales_Data!P13</f>
        <v>46227</v>
      </c>
      <c r="D15" s="9"/>
      <c r="E15" s="9"/>
      <c r="F15" s="9"/>
      <c r="G15" s="9"/>
      <c r="H15" s="9"/>
      <c r="I15" s="20"/>
      <c r="J15" s="10"/>
    </row>
    <row r="16" spans="1:10" x14ac:dyDescent="0.25">
      <c r="A16" s="9" t="str">
        <f>Sales_Data!A14</f>
        <v>ORD-1013</v>
      </c>
      <c r="B16" s="10">
        <f>Sales_Data!B14</f>
        <v>46210</v>
      </c>
      <c r="C16" s="10">
        <f>Sales_Data!P14</f>
        <v>46214</v>
      </c>
      <c r="D16" s="9"/>
      <c r="E16" s="9"/>
      <c r="F16" s="9"/>
      <c r="G16" s="9"/>
      <c r="H16" s="9"/>
      <c r="I16" s="20"/>
      <c r="J16" s="10"/>
    </row>
    <row r="17" spans="1:10" x14ac:dyDescent="0.25">
      <c r="A17" s="9" t="str">
        <f>Sales_Data!A15</f>
        <v>ORD-1014</v>
      </c>
      <c r="B17" s="10">
        <f>Sales_Data!B15</f>
        <v>46102</v>
      </c>
      <c r="C17" s="10">
        <f>Sales_Data!P15</f>
        <v>46106</v>
      </c>
      <c r="D17" s="9"/>
      <c r="E17" s="9"/>
      <c r="F17" s="9"/>
      <c r="G17" s="9"/>
      <c r="H17" s="9"/>
      <c r="I17" s="20"/>
      <c r="J17" s="10"/>
    </row>
    <row r="18" spans="1:10" x14ac:dyDescent="0.25">
      <c r="A18" s="9" t="str">
        <f>Sales_Data!A16</f>
        <v>ORD-1015</v>
      </c>
      <c r="B18" s="10">
        <f>Sales_Data!B16</f>
        <v>46079</v>
      </c>
      <c r="C18" s="10">
        <f>Sales_Data!P16</f>
        <v>46080</v>
      </c>
      <c r="D18" s="9"/>
      <c r="E18" s="9"/>
      <c r="F18" s="9"/>
      <c r="G18" s="9"/>
      <c r="H18" s="9"/>
      <c r="I18" s="20"/>
      <c r="J18" s="10"/>
    </row>
    <row r="19" spans="1:10" x14ac:dyDescent="0.25">
      <c r="A19" s="9" t="str">
        <f>Sales_Data!A17</f>
        <v>ORD-1016</v>
      </c>
      <c r="B19" s="10">
        <f>Sales_Data!B17</f>
        <v>46262</v>
      </c>
      <c r="C19" s="10">
        <f>Sales_Data!P17</f>
        <v>46267</v>
      </c>
      <c r="D19" s="9"/>
      <c r="E19" s="9"/>
      <c r="F19" s="9"/>
      <c r="G19" s="9"/>
      <c r="H19" s="9"/>
      <c r="I19" s="20"/>
      <c r="J19" s="10"/>
    </row>
    <row r="20" spans="1:10" x14ac:dyDescent="0.25">
      <c r="A20" s="9" t="str">
        <f>Sales_Data!A18</f>
        <v>ORD-1017</v>
      </c>
      <c r="B20" s="10">
        <f>Sales_Data!B18</f>
        <v>46209</v>
      </c>
      <c r="C20" s="10">
        <f>Sales_Data!P18</f>
        <v>46210</v>
      </c>
      <c r="D20" s="9"/>
      <c r="E20" s="9"/>
      <c r="F20" s="9"/>
      <c r="G20" s="9"/>
      <c r="H20" s="9"/>
      <c r="I20" s="20"/>
      <c r="J20" s="10"/>
    </row>
    <row r="21" spans="1:10" x14ac:dyDescent="0.25">
      <c r="A21" s="9" t="str">
        <f>Sales_Data!A19</f>
        <v>ORD-1018</v>
      </c>
      <c r="B21" s="10">
        <f>Sales_Data!B19</f>
        <v>46069</v>
      </c>
      <c r="C21" s="10">
        <f>Sales_Data!P19</f>
        <v>46072</v>
      </c>
      <c r="D21" s="9"/>
      <c r="E21" s="9"/>
      <c r="F21" s="9"/>
      <c r="G21" s="9"/>
      <c r="H21" s="9"/>
      <c r="I21" s="20"/>
      <c r="J21" s="10"/>
    </row>
    <row r="22" spans="1:10" x14ac:dyDescent="0.25">
      <c r="A22" s="9" t="str">
        <f>Sales_Data!A20</f>
        <v>ORD-1019</v>
      </c>
      <c r="B22" s="10">
        <f>Sales_Data!B20</f>
        <v>46147</v>
      </c>
      <c r="C22" s="10">
        <f>Sales_Data!P20</f>
        <v>46151</v>
      </c>
      <c r="D22" s="9"/>
      <c r="E22" s="9"/>
      <c r="F22" s="9"/>
      <c r="G22" s="9"/>
      <c r="H22" s="9"/>
      <c r="I22" s="20"/>
      <c r="J22" s="10"/>
    </row>
    <row r="23" spans="1:10" x14ac:dyDescent="0.25">
      <c r="A23" s="9" t="str">
        <f>Sales_Data!A21</f>
        <v>ORD-1020</v>
      </c>
      <c r="B23" s="10">
        <f>Sales_Data!B21</f>
        <v>46071</v>
      </c>
      <c r="C23" s="10">
        <f>Sales_Data!P21</f>
        <v>46074</v>
      </c>
      <c r="D23" s="9"/>
      <c r="E23" s="9"/>
      <c r="F23" s="9"/>
      <c r="G23" s="9"/>
      <c r="H23" s="9"/>
      <c r="I23" s="20"/>
      <c r="J23" s="10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H23"/>
  <sheetViews>
    <sheetView workbookViewId="0">
      <selection activeCell="H4" sqref="H4"/>
    </sheetView>
  </sheetViews>
  <sheetFormatPr defaultRowHeight="15" x14ac:dyDescent="0.25"/>
  <cols>
    <col min="1" max="1" width="44" customWidth="1"/>
    <col min="2" max="2" width="28" customWidth="1"/>
    <col min="3" max="3" width="21" customWidth="1"/>
    <col min="4" max="4" width="28" customWidth="1"/>
    <col min="5" max="5" width="29" customWidth="1"/>
    <col min="6" max="7" width="19" customWidth="1"/>
    <col min="8" max="8" width="35" customWidth="1"/>
  </cols>
  <sheetData>
    <row r="1" spans="1:8" ht="25.5" x14ac:dyDescent="0.5">
      <c r="A1" s="1" t="s">
        <v>298</v>
      </c>
    </row>
    <row r="3" spans="1:8" ht="24.95" customHeight="1" x14ac:dyDescent="0.25">
      <c r="A3" s="8" t="s">
        <v>299</v>
      </c>
      <c r="B3" s="8" t="s">
        <v>300</v>
      </c>
      <c r="C3" s="8" t="s">
        <v>301</v>
      </c>
      <c r="D3" s="8" t="s">
        <v>302</v>
      </c>
      <c r="E3" s="8" t="s">
        <v>303</v>
      </c>
      <c r="F3" s="8" t="s">
        <v>30</v>
      </c>
      <c r="G3" s="8" t="s">
        <v>31</v>
      </c>
      <c r="H3" s="8" t="s">
        <v>304</v>
      </c>
    </row>
    <row r="4" spans="1:8" x14ac:dyDescent="0.25">
      <c r="A4" t="str">
        <f>Sales_Data!C2</f>
        <v>Aarav Shah</v>
      </c>
      <c r="C4" s="9"/>
      <c r="D4" s="9"/>
      <c r="E4" s="9"/>
      <c r="F4" t="str">
        <f>Sales_Data!F2</f>
        <v>Pune</v>
      </c>
      <c r="G4" t="str">
        <f>Sales_Data!G2</f>
        <v>Maharashtra</v>
      </c>
    </row>
    <row r="5" spans="1:8" x14ac:dyDescent="0.25">
      <c r="A5" t="str">
        <f>Sales_Data!C3</f>
        <v>Vivaan Gaikwad</v>
      </c>
      <c r="C5" s="9"/>
      <c r="D5" s="9"/>
      <c r="E5" s="9"/>
      <c r="F5" t="str">
        <f>Sales_Data!F3</f>
        <v>Pune</v>
      </c>
      <c r="G5" t="str">
        <f>Sales_Data!G3</f>
        <v>Maharashtra</v>
      </c>
    </row>
    <row r="6" spans="1:8" x14ac:dyDescent="0.25">
      <c r="A6" t="str">
        <f>Sales_Data!C4</f>
        <v>Arjun Nair</v>
      </c>
      <c r="C6" s="9"/>
      <c r="D6" s="9"/>
      <c r="E6" s="9"/>
      <c r="F6" t="str">
        <f>Sales_Data!F4</f>
        <v>Chennai</v>
      </c>
      <c r="G6" t="str">
        <f>Sales_Data!G4</f>
        <v>Tamil Nadu</v>
      </c>
    </row>
    <row r="7" spans="1:8" x14ac:dyDescent="0.25">
      <c r="A7" t="str">
        <f>Sales_Data!C5</f>
        <v>Reyansh Bhat</v>
      </c>
      <c r="C7" s="9"/>
      <c r="D7" s="9"/>
      <c r="E7" s="9"/>
      <c r="F7" t="str">
        <f>Sales_Data!F5</f>
        <v>Nashik</v>
      </c>
      <c r="G7" t="str">
        <f>Sales_Data!G5</f>
        <v>Maharashtra</v>
      </c>
    </row>
    <row r="8" spans="1:8" x14ac:dyDescent="0.25">
      <c r="A8" t="str">
        <f>Sales_Data!C6</f>
        <v>Sanya Iyer</v>
      </c>
      <c r="C8" s="9"/>
      <c r="D8" s="9"/>
      <c r="E8" s="9"/>
      <c r="F8" t="str">
        <f>Sales_Data!F6</f>
        <v>Nashik</v>
      </c>
      <c r="G8" t="str">
        <f>Sales_Data!G6</f>
        <v>Maharashtra</v>
      </c>
    </row>
    <row r="9" spans="1:8" x14ac:dyDescent="0.25">
      <c r="A9" t="str">
        <f>Sales_Data!C7</f>
        <v>Omkar Salunkhe</v>
      </c>
      <c r="C9" s="9"/>
      <c r="D9" s="9"/>
      <c r="E9" s="9"/>
      <c r="F9" t="str">
        <f>Sales_Data!F7</f>
        <v>Bengaluru</v>
      </c>
      <c r="G9" t="str">
        <f>Sales_Data!G7</f>
        <v>Karnataka</v>
      </c>
    </row>
    <row r="10" spans="1:8" x14ac:dyDescent="0.25">
      <c r="A10" t="str">
        <f>Sales_Data!C8</f>
        <v>Yash Borse</v>
      </c>
      <c r="C10" s="9"/>
      <c r="D10" s="9"/>
      <c r="E10" s="9"/>
      <c r="F10" t="str">
        <f>Sales_Data!F8</f>
        <v>Malegaon</v>
      </c>
      <c r="G10" t="str">
        <f>Sales_Data!G8</f>
        <v>Maharashtra</v>
      </c>
    </row>
    <row r="11" spans="1:8" x14ac:dyDescent="0.25">
      <c r="A11" t="str">
        <f>Sales_Data!C9</f>
        <v>Omkar Salunkhe</v>
      </c>
      <c r="C11" s="9"/>
      <c r="D11" s="9"/>
      <c r="E11" s="9"/>
      <c r="F11" t="str">
        <f>Sales_Data!F9</f>
        <v>Nagpur</v>
      </c>
      <c r="G11" t="str">
        <f>Sales_Data!G9</f>
        <v>Maharashtra</v>
      </c>
    </row>
    <row r="12" spans="1:8" x14ac:dyDescent="0.25">
      <c r="A12" t="str">
        <f>Sales_Data!C10</f>
        <v>Vivaan Gaikwad</v>
      </c>
      <c r="C12" s="9"/>
      <c r="D12" s="9"/>
      <c r="E12" s="9"/>
      <c r="F12" t="str">
        <f>Sales_Data!F10</f>
        <v>Chennai</v>
      </c>
      <c r="G12" t="str">
        <f>Sales_Data!G10</f>
        <v>Tamil Nadu</v>
      </c>
    </row>
    <row r="13" spans="1:8" x14ac:dyDescent="0.25">
      <c r="A13" t="str">
        <f>Sales_Data!C11</f>
        <v>Arjun Nair</v>
      </c>
      <c r="C13" s="9"/>
      <c r="D13" s="9"/>
      <c r="E13" s="9"/>
      <c r="F13" t="str">
        <f>Sales_Data!F11</f>
        <v>Bengaluru</v>
      </c>
      <c r="G13" t="str">
        <f>Sales_Data!G11</f>
        <v>Karnataka</v>
      </c>
    </row>
    <row r="14" spans="1:8" x14ac:dyDescent="0.25">
      <c r="A14" t="str">
        <f>Sales_Data!C12</f>
        <v>Arjun Nair</v>
      </c>
      <c r="C14" s="9"/>
      <c r="D14" s="9"/>
      <c r="E14" s="9"/>
      <c r="F14" t="str">
        <f>Sales_Data!F12</f>
        <v>Nashik</v>
      </c>
      <c r="G14" t="str">
        <f>Sales_Data!G12</f>
        <v>Maharashtra</v>
      </c>
    </row>
    <row r="15" spans="1:8" x14ac:dyDescent="0.25">
      <c r="A15" t="str">
        <f>Sales_Data!C13</f>
        <v xml:space="preserve">  aarav shah </v>
      </c>
      <c r="C15" s="9"/>
      <c r="D15" s="9"/>
      <c r="E15" s="9"/>
      <c r="F15" t="str">
        <f>Sales_Data!F13</f>
        <v>Malegaon</v>
      </c>
      <c r="G15" t="str">
        <f>Sales_Data!G13</f>
        <v>Maharashtra</v>
      </c>
    </row>
    <row r="16" spans="1:8" x14ac:dyDescent="0.25">
      <c r="A16" t="str">
        <f>Sales_Data!C14</f>
        <v>Rohan Joshi</v>
      </c>
      <c r="C16" s="9"/>
      <c r="D16" s="9"/>
      <c r="E16" s="9"/>
      <c r="F16" t="str">
        <f>Sales_Data!F14</f>
        <v>Bengaluru</v>
      </c>
      <c r="G16" t="str">
        <f>Sales_Data!G14</f>
        <v>Karnataka</v>
      </c>
    </row>
    <row r="17" spans="1:7" x14ac:dyDescent="0.25">
      <c r="A17" t="str">
        <f>Sales_Data!C15</f>
        <v>Tanvi Nikam</v>
      </c>
      <c r="C17" s="9"/>
      <c r="D17" s="9"/>
      <c r="E17" s="9"/>
      <c r="F17" t="str">
        <f>Sales_Data!F15</f>
        <v>Ahmednagar</v>
      </c>
      <c r="G17" t="str">
        <f>Sales_Data!G15</f>
        <v>Maharashtra</v>
      </c>
    </row>
    <row r="18" spans="1:7" x14ac:dyDescent="0.25">
      <c r="A18" t="str">
        <f>Sales_Data!C16</f>
        <v>Rohan Joshi</v>
      </c>
      <c r="C18" s="9"/>
      <c r="D18" s="9"/>
      <c r="E18" s="9"/>
      <c r="F18" t="str">
        <f>Sales_Data!F16</f>
        <v>Nashik</v>
      </c>
      <c r="G18" t="str">
        <f>Sales_Data!G16</f>
        <v>Maharashtra</v>
      </c>
    </row>
    <row r="19" spans="1:7" x14ac:dyDescent="0.25">
      <c r="A19" t="str">
        <f>Sales_Data!C17</f>
        <v>Dhruv Sawant</v>
      </c>
      <c r="C19" s="9"/>
      <c r="D19" s="9"/>
      <c r="E19" s="9"/>
      <c r="F19" t="str">
        <f>Sales_Data!F17</f>
        <v>Chennai</v>
      </c>
      <c r="G19" t="str">
        <f>Sales_Data!G17</f>
        <v>Tamil Nadu</v>
      </c>
    </row>
    <row r="20" spans="1:7" x14ac:dyDescent="0.25">
      <c r="A20" t="str">
        <f>Sales_Data!C18</f>
        <v>Tanvi Nikam</v>
      </c>
      <c r="C20" s="9"/>
      <c r="D20" s="9"/>
      <c r="E20" s="9"/>
      <c r="F20" t="str">
        <f>Sales_Data!F18</f>
        <v>Jalgaon</v>
      </c>
      <c r="G20" t="str">
        <f>Sales_Data!G18</f>
        <v>Maharashtra</v>
      </c>
    </row>
    <row r="21" spans="1:7" x14ac:dyDescent="0.25">
      <c r="A21" t="str">
        <f>Sales_Data!C19</f>
        <v>Reyansh Bhat</v>
      </c>
      <c r="C21" s="9"/>
      <c r="D21" s="9"/>
      <c r="E21" s="9"/>
      <c r="F21" t="str">
        <f>Sales_Data!F19</f>
        <v>Dhule</v>
      </c>
      <c r="G21" t="str">
        <f>Sales_Data!G19</f>
        <v>Maharashtra</v>
      </c>
    </row>
    <row r="22" spans="1:7" x14ac:dyDescent="0.25">
      <c r="A22" t="str">
        <f>Sales_Data!C20</f>
        <v>Kabir Kulkarni</v>
      </c>
      <c r="C22" s="9"/>
      <c r="D22" s="9"/>
      <c r="E22" s="9"/>
      <c r="F22" t="str">
        <f>Sales_Data!F20</f>
        <v>Mumbai</v>
      </c>
      <c r="G22" t="str">
        <f>Sales_Data!G20</f>
        <v>Maharashtra</v>
      </c>
    </row>
    <row r="23" spans="1:7" x14ac:dyDescent="0.25">
      <c r="A23" t="str">
        <f>Sales_Data!C21</f>
        <v>Kabir Kulkarni</v>
      </c>
      <c r="C23" s="9"/>
      <c r="D23" s="9"/>
      <c r="E23" s="9"/>
      <c r="F23" t="str">
        <f>Sales_Data!F21</f>
        <v>Hyderabad</v>
      </c>
      <c r="G23" t="str">
        <f>Sales_Data!G21</f>
        <v>Telangana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"/>
  <sheetViews>
    <sheetView workbookViewId="0">
      <selection activeCell="F14" sqref="F14"/>
    </sheetView>
  </sheetViews>
  <sheetFormatPr defaultRowHeight="15" x14ac:dyDescent="0.25"/>
  <cols>
    <col min="1" max="1" width="12" customWidth="1"/>
    <col min="2" max="2" width="51" customWidth="1"/>
    <col min="3" max="3" width="12" customWidth="1"/>
    <col min="4" max="4" width="43" customWidth="1"/>
    <col min="5" max="5" width="12" customWidth="1"/>
    <col min="6" max="6" width="45" customWidth="1"/>
    <col min="7" max="7" width="12" customWidth="1"/>
    <col min="8" max="8" width="32" customWidth="1"/>
    <col min="9" max="10" width="12" customWidth="1"/>
    <col min="11" max="11" width="19" customWidth="1"/>
    <col min="12" max="12" width="54" customWidth="1"/>
  </cols>
  <sheetData>
    <row r="2" spans="2:2" ht="25.5" x14ac:dyDescent="0.5">
      <c r="B2" s="1" t="s">
        <v>305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3"/>
  <sheetViews>
    <sheetView workbookViewId="0">
      <selection activeCell="B22" sqref="B22"/>
    </sheetView>
  </sheetViews>
  <sheetFormatPr defaultRowHeight="15" x14ac:dyDescent="0.25"/>
  <cols>
    <col min="1" max="1" width="63" customWidth="1"/>
    <col min="2" max="2" width="100.140625" bestFit="1" customWidth="1"/>
  </cols>
  <sheetData>
    <row r="1" spans="1:2" ht="25.5" x14ac:dyDescent="0.5">
      <c r="A1" s="1" t="s">
        <v>306</v>
      </c>
    </row>
    <row r="3" spans="1:2" ht="16.5" x14ac:dyDescent="0.3">
      <c r="A3" s="12" t="s">
        <v>307</v>
      </c>
      <c r="B3" s="12" t="s">
        <v>308</v>
      </c>
    </row>
    <row r="4" spans="1:2" ht="16.5" x14ac:dyDescent="0.3">
      <c r="A4" s="21" t="s">
        <v>309</v>
      </c>
      <c r="B4" s="13" t="s">
        <v>310</v>
      </c>
    </row>
    <row r="5" spans="1:2" ht="16.5" x14ac:dyDescent="0.3">
      <c r="A5" s="21" t="s">
        <v>311</v>
      </c>
      <c r="B5" s="13" t="s">
        <v>312</v>
      </c>
    </row>
    <row r="6" spans="1:2" ht="16.5" x14ac:dyDescent="0.3">
      <c r="A6" s="21" t="s">
        <v>313</v>
      </c>
      <c r="B6" s="13" t="s">
        <v>314</v>
      </c>
    </row>
    <row r="7" spans="1:2" ht="16.5" x14ac:dyDescent="0.3">
      <c r="A7" s="21" t="s">
        <v>315</v>
      </c>
      <c r="B7" s="13" t="s">
        <v>316</v>
      </c>
    </row>
    <row r="8" spans="1:2" ht="16.5" x14ac:dyDescent="0.3">
      <c r="A8" s="21" t="s">
        <v>317</v>
      </c>
      <c r="B8" s="13" t="s">
        <v>318</v>
      </c>
    </row>
    <row r="9" spans="1:2" ht="16.5" x14ac:dyDescent="0.3">
      <c r="A9" s="21" t="s">
        <v>319</v>
      </c>
      <c r="B9" s="13" t="s">
        <v>320</v>
      </c>
    </row>
    <row r="10" spans="1:2" ht="16.5" x14ac:dyDescent="0.3">
      <c r="A10" s="21" t="s">
        <v>321</v>
      </c>
      <c r="B10" s="13" t="s">
        <v>322</v>
      </c>
    </row>
    <row r="11" spans="1:2" ht="16.5" x14ac:dyDescent="0.3">
      <c r="A11" s="21" t="s">
        <v>323</v>
      </c>
      <c r="B11" s="13" t="s">
        <v>324</v>
      </c>
    </row>
    <row r="12" spans="1:2" ht="16.5" x14ac:dyDescent="0.3">
      <c r="A12" s="21" t="s">
        <v>325</v>
      </c>
      <c r="B12" s="13" t="s">
        <v>326</v>
      </c>
    </row>
    <row r="13" spans="1:2" ht="16.5" x14ac:dyDescent="0.3">
      <c r="A13" s="21" t="s">
        <v>327</v>
      </c>
      <c r="B13" s="13" t="s">
        <v>328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Instructions</vt:lpstr>
      <vt:lpstr>Sales_Data</vt:lpstr>
      <vt:lpstr>Data_Entry</vt:lpstr>
      <vt:lpstr>Series_Practice</vt:lpstr>
      <vt:lpstr>Analysis</vt:lpstr>
      <vt:lpstr>Date_Practice</vt:lpstr>
      <vt:lpstr>Text_Practice</vt:lpstr>
      <vt:lpstr>Dashboard</vt:lpstr>
      <vt:lpstr>Final_Challenge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Admin</cp:lastModifiedBy>
  <dcterms:created xsi:type="dcterms:W3CDTF">2026-09-14T05:40:38Z</dcterms:created>
  <dcterms:modified xsi:type="dcterms:W3CDTF">2026-09-22T07:16:21Z</dcterms:modified>
</cp:coreProperties>
</file>